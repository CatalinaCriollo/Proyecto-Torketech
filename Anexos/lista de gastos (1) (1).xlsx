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tcr\Downloads\"/>
    </mc:Choice>
  </mc:AlternateContent>
  <xr:revisionPtr revIDLastSave="0" documentId="13_ncr:1_{F737CF7F-C9D8-45EF-A0DE-CAFFF93C94A3}" xr6:coauthVersionLast="47" xr6:coauthVersionMax="47" xr10:uidLastSave="{00000000-0000-0000-0000-000000000000}"/>
  <bookViews>
    <workbookView xWindow="-120" yWindow="-120" windowWidth="20730" windowHeight="11040" activeTab="3" xr2:uid="{157961E3-DAF1-422B-9798-84C4CBEFEEFA}"/>
  </bookViews>
  <sheets>
    <sheet name="Datos" sheetId="1" r:id="rId1"/>
    <sheet name="Flujos" sheetId="2" r:id="rId2"/>
    <sheet name="Flujo de caja" sheetId="3" r:id="rId3"/>
    <sheet name="Deuda y ke" sheetId="4" r:id="rId4"/>
  </sheets>
  <definedNames>
    <definedName name="_xlnm._FilterDatabase" localSheetId="0" hidden="1">Datos!$G$1:$G$78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7" i="1" l="1"/>
  <c r="J67" i="1" s="1"/>
  <c r="C51" i="2" s="1"/>
  <c r="D51" i="2" s="1"/>
  <c r="E51" i="2" s="1"/>
  <c r="F51" i="2" s="1"/>
  <c r="G51" i="2" s="1"/>
  <c r="H51" i="2" s="1"/>
  <c r="I51" i="2" s="1"/>
  <c r="J51" i="2" s="1"/>
  <c r="K51" i="2" s="1"/>
  <c r="L51" i="2" s="1"/>
  <c r="E63" i="1"/>
  <c r="F63" i="1" s="1"/>
  <c r="J63" i="1" s="1"/>
  <c r="F62" i="1"/>
  <c r="J62" i="1" s="1"/>
  <c r="C54" i="2" s="1"/>
  <c r="D54" i="2" s="1"/>
  <c r="E54" i="2" s="1"/>
  <c r="F54" i="2" s="1"/>
  <c r="G54" i="2" s="1"/>
  <c r="H54" i="2" s="1"/>
  <c r="I54" i="2" s="1"/>
  <c r="J54" i="2" s="1"/>
  <c r="K54" i="2" s="1"/>
  <c r="L54" i="2" s="1"/>
  <c r="F61" i="1"/>
  <c r="J61" i="1" s="1"/>
  <c r="C53" i="2" s="1"/>
  <c r="D53" i="2" s="1"/>
  <c r="E53" i="2" s="1"/>
  <c r="F53" i="2" s="1"/>
  <c r="G53" i="2" s="1"/>
  <c r="H53" i="2" s="1"/>
  <c r="I53" i="2" s="1"/>
  <c r="J53" i="2" s="1"/>
  <c r="K53" i="2" s="1"/>
  <c r="L53" i="2" s="1"/>
  <c r="F60" i="1"/>
  <c r="J60" i="1" s="1"/>
  <c r="C24" i="4"/>
  <c r="C28" i="4" s="1"/>
  <c r="B41" i="3" s="1"/>
  <c r="C49" i="2"/>
  <c r="F84" i="1"/>
  <c r="J84" i="1" s="1"/>
  <c r="C42" i="2" s="1"/>
  <c r="D42" i="2" s="1"/>
  <c r="E42" i="2" s="1"/>
  <c r="F42" i="2" s="1"/>
  <c r="G42" i="2" s="1"/>
  <c r="H42" i="2" s="1"/>
  <c r="I42" i="2" s="1"/>
  <c r="J42" i="2" s="1"/>
  <c r="K42" i="2" s="1"/>
  <c r="L42" i="2" s="1"/>
  <c r="B19" i="3"/>
  <c r="C5" i="4"/>
  <c r="C4" i="4"/>
  <c r="B57" i="2"/>
  <c r="B7" i="3" s="1"/>
  <c r="B46" i="2"/>
  <c r="B4" i="3" s="1"/>
  <c r="B3" i="3"/>
  <c r="E73" i="1"/>
  <c r="F73" i="1"/>
  <c r="J73" i="1" s="1"/>
  <c r="B35" i="2" s="1"/>
  <c r="F32" i="1"/>
  <c r="J32" i="1" s="1"/>
  <c r="B23" i="2" s="1"/>
  <c r="N22" i="2" s="1"/>
  <c r="F83" i="1"/>
  <c r="J83" i="1" s="1"/>
  <c r="C41" i="2" s="1"/>
  <c r="D41" i="2" s="1"/>
  <c r="E41" i="2" s="1"/>
  <c r="F41" i="2" s="1"/>
  <c r="G41" i="2" s="1"/>
  <c r="H41" i="2" s="1"/>
  <c r="I41" i="2" s="1"/>
  <c r="J41" i="2" s="1"/>
  <c r="K41" i="2" s="1"/>
  <c r="L41" i="2" s="1"/>
  <c r="F82" i="1"/>
  <c r="F40" i="1"/>
  <c r="J40" i="1" s="1"/>
  <c r="B27" i="2" s="1"/>
  <c r="N26" i="2" s="1"/>
  <c r="F41" i="1"/>
  <c r="J41" i="1" s="1"/>
  <c r="B28" i="2" s="1"/>
  <c r="N27" i="2" s="1"/>
  <c r="F44" i="1"/>
  <c r="J44" i="1" s="1"/>
  <c r="B29" i="2" s="1"/>
  <c r="N28" i="2" s="1"/>
  <c r="F45" i="1"/>
  <c r="J45" i="1" s="1"/>
  <c r="B30" i="2" s="1"/>
  <c r="N29" i="2" s="1"/>
  <c r="F46" i="1"/>
  <c r="J46" i="1" s="1"/>
  <c r="B31" i="2" s="1"/>
  <c r="N30" i="2" s="1"/>
  <c r="F47" i="1"/>
  <c r="J47" i="1" s="1"/>
  <c r="B32" i="2" s="1"/>
  <c r="N31" i="2" s="1"/>
  <c r="F48" i="1"/>
  <c r="J48" i="1" s="1"/>
  <c r="B33" i="2" s="1"/>
  <c r="N32" i="2" s="1"/>
  <c r="F49" i="1"/>
  <c r="J49" i="1" s="1"/>
  <c r="B34" i="2" s="1"/>
  <c r="N33" i="2" s="1"/>
  <c r="F53" i="1"/>
  <c r="J53" i="1" s="1"/>
  <c r="C43" i="2" s="1"/>
  <c r="F54" i="1"/>
  <c r="J54" i="1" s="1"/>
  <c r="F55" i="1"/>
  <c r="J55" i="1" s="1"/>
  <c r="C44" i="2" s="1"/>
  <c r="F56" i="1"/>
  <c r="J56" i="1" s="1"/>
  <c r="C50" i="2" s="1"/>
  <c r="F57" i="1"/>
  <c r="J57" i="1" s="1"/>
  <c r="C45" i="2" s="1"/>
  <c r="F64" i="1"/>
  <c r="J64" i="1" s="1"/>
  <c r="C56" i="2" s="1"/>
  <c r="D56" i="2" s="1"/>
  <c r="E56" i="2" s="1"/>
  <c r="F56" i="2" s="1"/>
  <c r="G56" i="2" s="1"/>
  <c r="H56" i="2" s="1"/>
  <c r="I56" i="2" s="1"/>
  <c r="J56" i="2" s="1"/>
  <c r="K56" i="2" s="1"/>
  <c r="L56" i="2" s="1"/>
  <c r="F76" i="1"/>
  <c r="J76" i="1" s="1"/>
  <c r="C60" i="2" s="1"/>
  <c r="D60" i="2" s="1"/>
  <c r="E60" i="2" s="1"/>
  <c r="F60" i="2" s="1"/>
  <c r="G60" i="2" s="1"/>
  <c r="H60" i="2" s="1"/>
  <c r="I60" i="2" s="1"/>
  <c r="J60" i="2" s="1"/>
  <c r="K60" i="2" s="1"/>
  <c r="L60" i="2" s="1"/>
  <c r="F77" i="1"/>
  <c r="J77" i="1" s="1"/>
  <c r="C61" i="2" s="1"/>
  <c r="D61" i="2" s="1"/>
  <c r="E61" i="2" s="1"/>
  <c r="F61" i="2" s="1"/>
  <c r="G61" i="2" s="1"/>
  <c r="H61" i="2" s="1"/>
  <c r="I61" i="2" s="1"/>
  <c r="J61" i="2" s="1"/>
  <c r="K61" i="2" s="1"/>
  <c r="L61" i="2" s="1"/>
  <c r="F78" i="1"/>
  <c r="J78" i="1" s="1"/>
  <c r="C62" i="2" s="1"/>
  <c r="D62" i="2" s="1"/>
  <c r="E62" i="2" s="1"/>
  <c r="F62" i="2" s="1"/>
  <c r="G62" i="2" s="1"/>
  <c r="H62" i="2" s="1"/>
  <c r="I62" i="2" s="1"/>
  <c r="J62" i="2" s="1"/>
  <c r="K62" i="2" s="1"/>
  <c r="L62" i="2" s="1"/>
  <c r="F35" i="1"/>
  <c r="J35" i="1" s="1"/>
  <c r="B24" i="2" s="1"/>
  <c r="N23" i="2" s="1"/>
  <c r="F36" i="1"/>
  <c r="J36" i="1" s="1"/>
  <c r="B25" i="2" s="1"/>
  <c r="N24" i="2" s="1"/>
  <c r="F37" i="1"/>
  <c r="J37" i="1" s="1"/>
  <c r="B26" i="2" s="1"/>
  <c r="N25" i="2" s="1"/>
  <c r="F11" i="1"/>
  <c r="J11" i="1" s="1"/>
  <c r="B5" i="2" s="1"/>
  <c r="N4" i="2" s="1"/>
  <c r="F12" i="1"/>
  <c r="J12" i="1" s="1"/>
  <c r="B6" i="2" s="1"/>
  <c r="N5" i="2" s="1"/>
  <c r="F13" i="1"/>
  <c r="J13" i="1" s="1"/>
  <c r="B7" i="2" s="1"/>
  <c r="N6" i="2" s="1"/>
  <c r="F14" i="1"/>
  <c r="J14" i="1" s="1"/>
  <c r="B8" i="2" s="1"/>
  <c r="N7" i="2" s="1"/>
  <c r="F15" i="1"/>
  <c r="J15" i="1" s="1"/>
  <c r="B9" i="2" s="1"/>
  <c r="F16" i="1"/>
  <c r="J16" i="1" s="1"/>
  <c r="B10" i="2" s="1"/>
  <c r="N9" i="2" s="1"/>
  <c r="F17" i="1"/>
  <c r="J17" i="1" s="1"/>
  <c r="B11" i="2" s="1"/>
  <c r="N10" i="2" s="1"/>
  <c r="F19" i="1"/>
  <c r="J19" i="1" s="1"/>
  <c r="B12" i="2" s="1"/>
  <c r="N11" i="2" s="1"/>
  <c r="F20" i="1"/>
  <c r="J20" i="1" s="1"/>
  <c r="B13" i="2" s="1"/>
  <c r="N12" i="2" s="1"/>
  <c r="F21" i="1"/>
  <c r="J21" i="1" s="1"/>
  <c r="B14" i="2" s="1"/>
  <c r="N13" i="2" s="1"/>
  <c r="F22" i="1"/>
  <c r="J22" i="1" s="1"/>
  <c r="B15" i="2" s="1"/>
  <c r="N14" i="2" s="1"/>
  <c r="F24" i="1"/>
  <c r="J24" i="1" s="1"/>
  <c r="B16" i="2" s="1"/>
  <c r="N15" i="2" s="1"/>
  <c r="F25" i="1"/>
  <c r="J25" i="1" s="1"/>
  <c r="B17" i="2" s="1"/>
  <c r="N16" i="2" s="1"/>
  <c r="F26" i="1"/>
  <c r="J26" i="1" s="1"/>
  <c r="B18" i="2" s="1"/>
  <c r="N17" i="2" s="1"/>
  <c r="F27" i="1"/>
  <c r="J27" i="1" s="1"/>
  <c r="B19" i="2" s="1"/>
  <c r="N18" i="2" s="1"/>
  <c r="F28" i="1"/>
  <c r="J28" i="1" s="1"/>
  <c r="B20" i="2" s="1"/>
  <c r="N19" i="2" s="1"/>
  <c r="F29" i="1"/>
  <c r="J29" i="1" s="1"/>
  <c r="B21" i="2" s="1"/>
  <c r="N20" i="2" s="1"/>
  <c r="F31" i="1"/>
  <c r="J31" i="1" s="1"/>
  <c r="B22" i="2" s="1"/>
  <c r="N21" i="2" s="1"/>
  <c r="F10" i="1"/>
  <c r="J10" i="1" s="1"/>
  <c r="B4" i="2" s="1"/>
  <c r="N3" i="2" s="1"/>
  <c r="C55" i="2" l="1"/>
  <c r="D55" i="2" s="1"/>
  <c r="E55" i="2" s="1"/>
  <c r="F55" i="2" s="1"/>
  <c r="G55" i="2" s="1"/>
  <c r="H55" i="2" s="1"/>
  <c r="I55" i="2" s="1"/>
  <c r="J55" i="2" s="1"/>
  <c r="K55" i="2" s="1"/>
  <c r="L55" i="2" s="1"/>
  <c r="B28" i="3"/>
  <c r="B36" i="2"/>
  <c r="B22" i="3" s="1"/>
  <c r="J82" i="1"/>
  <c r="C40" i="2" s="1"/>
  <c r="D40" i="2" s="1"/>
  <c r="E40" i="2" s="1"/>
  <c r="F40" i="2" s="1"/>
  <c r="G40" i="2" s="1"/>
  <c r="H40" i="2" s="1"/>
  <c r="I40" i="2" s="1"/>
  <c r="J40" i="2" s="1"/>
  <c r="K40" i="2" s="1"/>
  <c r="L40" i="2" s="1"/>
  <c r="N34" i="2"/>
  <c r="D50" i="2"/>
  <c r="E50" i="2" s="1"/>
  <c r="F50" i="2" s="1"/>
  <c r="G50" i="2" s="1"/>
  <c r="H50" i="2" s="1"/>
  <c r="I50" i="2" s="1"/>
  <c r="J50" i="2" s="1"/>
  <c r="K50" i="2" s="1"/>
  <c r="L50" i="2" s="1"/>
  <c r="D43" i="2"/>
  <c r="E43" i="2" s="1"/>
  <c r="F43" i="2" s="1"/>
  <c r="G43" i="2" s="1"/>
  <c r="H43" i="2" s="1"/>
  <c r="I43" i="2" s="1"/>
  <c r="J43" i="2" s="1"/>
  <c r="K43" i="2" s="1"/>
  <c r="L43" i="2" s="1"/>
  <c r="D45" i="2"/>
  <c r="E45" i="2" s="1"/>
  <c r="F45" i="2" s="1"/>
  <c r="G45" i="2" s="1"/>
  <c r="H45" i="2" s="1"/>
  <c r="I45" i="2" s="1"/>
  <c r="J45" i="2" s="1"/>
  <c r="K45" i="2" s="1"/>
  <c r="L45" i="2" s="1"/>
  <c r="C63" i="2"/>
  <c r="C3" i="3" s="1"/>
  <c r="B5" i="3"/>
  <c r="B8" i="3" s="1"/>
  <c r="B11" i="3" s="1"/>
  <c r="L63" i="2"/>
  <c r="L3" i="3" s="1"/>
  <c r="N8" i="2"/>
  <c r="G10" i="3" s="1"/>
  <c r="G19" i="3" s="1"/>
  <c r="D44" i="2"/>
  <c r="E44" i="2" s="1"/>
  <c r="F44" i="2" s="1"/>
  <c r="G44" i="2" s="1"/>
  <c r="H44" i="2" s="1"/>
  <c r="I44" i="2" s="1"/>
  <c r="J44" i="2" s="1"/>
  <c r="K44" i="2" s="1"/>
  <c r="L44" i="2" s="1"/>
  <c r="C52" i="2"/>
  <c r="D52" i="2" s="1"/>
  <c r="E52" i="2" s="1"/>
  <c r="F52" i="2" s="1"/>
  <c r="G52" i="2" s="1"/>
  <c r="H52" i="2" s="1"/>
  <c r="I52" i="2" s="1"/>
  <c r="J52" i="2" s="1"/>
  <c r="K52" i="2" s="1"/>
  <c r="L52" i="2" s="1"/>
  <c r="D63" i="2"/>
  <c r="D3" i="3" s="1"/>
  <c r="C57" i="2" l="1"/>
  <c r="C7" i="3" s="1"/>
  <c r="C2" i="4"/>
  <c r="D4" i="4" s="1"/>
  <c r="B36" i="3" s="1"/>
  <c r="L46" i="2"/>
  <c r="L4" i="3" s="1"/>
  <c r="J10" i="3"/>
  <c r="J19" i="3" s="1"/>
  <c r="J46" i="2"/>
  <c r="J4" i="3" s="1"/>
  <c r="H46" i="2"/>
  <c r="H4" i="3" s="1"/>
  <c r="I46" i="2"/>
  <c r="I4" i="3" s="1"/>
  <c r="F46" i="2"/>
  <c r="F4" i="3" s="1"/>
  <c r="E46" i="2"/>
  <c r="E4" i="3" s="1"/>
  <c r="D46" i="2"/>
  <c r="I10" i="3"/>
  <c r="I19" i="3" s="1"/>
  <c r="D10" i="3"/>
  <c r="D19" i="3" s="1"/>
  <c r="L10" i="3"/>
  <c r="L19" i="3" s="1"/>
  <c r="K46" i="2"/>
  <c r="K4" i="3" s="1"/>
  <c r="K10" i="3"/>
  <c r="K19" i="3" s="1"/>
  <c r="H10" i="3"/>
  <c r="H19" i="3" s="1"/>
  <c r="F10" i="3"/>
  <c r="F19" i="3" s="1"/>
  <c r="C10" i="3"/>
  <c r="C19" i="3" s="1"/>
  <c r="E10" i="3"/>
  <c r="E19" i="3" s="1"/>
  <c r="D49" i="2"/>
  <c r="C46" i="2"/>
  <c r="G46" i="2"/>
  <c r="G4" i="3" s="1"/>
  <c r="J63" i="2"/>
  <c r="J3" i="3" s="1"/>
  <c r="E63" i="2"/>
  <c r="E3" i="3" s="1"/>
  <c r="F63" i="2"/>
  <c r="F3" i="3" s="1"/>
  <c r="H63" i="2"/>
  <c r="H3" i="3" s="1"/>
  <c r="I63" i="2"/>
  <c r="I3" i="3" s="1"/>
  <c r="K63" i="2"/>
  <c r="K3" i="3" s="1"/>
  <c r="G63" i="2"/>
  <c r="G3" i="3" s="1"/>
  <c r="C7" i="4" l="1"/>
  <c r="D15" i="4" s="1"/>
  <c r="C11" i="4"/>
  <c r="G11" i="4" s="1"/>
  <c r="C12" i="4" s="1"/>
  <c r="E12" i="4" s="1"/>
  <c r="D4" i="3"/>
  <c r="D5" i="3" s="1"/>
  <c r="C4" i="3"/>
  <c r="C5" i="3" s="1"/>
  <c r="C8" i="3" s="1"/>
  <c r="C11" i="3" s="1"/>
  <c r="E49" i="2"/>
  <c r="D57" i="2"/>
  <c r="D7" i="3" s="1"/>
  <c r="E5" i="3"/>
  <c r="D20" i="4" l="1"/>
  <c r="D13" i="4"/>
  <c r="D21" i="4"/>
  <c r="D12" i="4"/>
  <c r="F12" i="4" s="1"/>
  <c r="G12" i="4" s="1"/>
  <c r="C13" i="4" s="1"/>
  <c r="E13" i="4" s="1"/>
  <c r="D14" i="4"/>
  <c r="D17" i="4"/>
  <c r="D19" i="4"/>
  <c r="D18" i="4"/>
  <c r="D16" i="4"/>
  <c r="D8" i="3"/>
  <c r="D11" i="3" s="1"/>
  <c r="F49" i="2"/>
  <c r="E57" i="2"/>
  <c r="E7" i="3" s="1"/>
  <c r="E8" i="3" s="1"/>
  <c r="E11" i="3" s="1"/>
  <c r="F5" i="3"/>
  <c r="F13" i="4" l="1"/>
  <c r="G13" i="4" s="1"/>
  <c r="C14" i="4" s="1"/>
  <c r="E14" i="4" s="1"/>
  <c r="F14" i="4" s="1"/>
  <c r="G14" i="4" s="1"/>
  <c r="C15" i="4" s="1"/>
  <c r="E15" i="4" s="1"/>
  <c r="F15" i="4" s="1"/>
  <c r="G15" i="4" s="1"/>
  <c r="C16" i="4" s="1"/>
  <c r="E16" i="4" s="1"/>
  <c r="F16" i="4" s="1"/>
  <c r="G16" i="4" s="1"/>
  <c r="C17" i="4" s="1"/>
  <c r="E17" i="4" s="1"/>
  <c r="G49" i="2"/>
  <c r="F57" i="2"/>
  <c r="F7" i="3" s="1"/>
  <c r="F8" i="3" s="1"/>
  <c r="F11" i="3" s="1"/>
  <c r="G5" i="3"/>
  <c r="F17" i="4" l="1"/>
  <c r="H49" i="2"/>
  <c r="G57" i="2"/>
  <c r="G7" i="3" s="1"/>
  <c r="G8" i="3" s="1"/>
  <c r="G11" i="3" s="1"/>
  <c r="H5" i="3"/>
  <c r="G17" i="4" l="1"/>
  <c r="C18" i="4" s="1"/>
  <c r="E18" i="4" s="1"/>
  <c r="I49" i="2"/>
  <c r="H57" i="2"/>
  <c r="H7" i="3" s="1"/>
  <c r="H8" i="3" s="1"/>
  <c r="H11" i="3" s="1"/>
  <c r="I5" i="3"/>
  <c r="F18" i="4" l="1"/>
  <c r="J49" i="2"/>
  <c r="I57" i="2"/>
  <c r="I7" i="3" s="1"/>
  <c r="I8" i="3" s="1"/>
  <c r="I11" i="3" s="1"/>
  <c r="J5" i="3"/>
  <c r="G18" i="4" l="1"/>
  <c r="C19" i="4" s="1"/>
  <c r="E19" i="4" s="1"/>
  <c r="F19" i="4" s="1"/>
  <c r="G19" i="4" s="1"/>
  <c r="C20" i="4" s="1"/>
  <c r="E20" i="4" s="1"/>
  <c r="F20" i="4" s="1"/>
  <c r="G20" i="4" s="1"/>
  <c r="C21" i="4" s="1"/>
  <c r="E21" i="4" s="1"/>
  <c r="K49" i="2"/>
  <c r="J57" i="2"/>
  <c r="J7" i="3" s="1"/>
  <c r="J8" i="3" s="1"/>
  <c r="J11" i="3" s="1"/>
  <c r="L5" i="3"/>
  <c r="K5" i="3"/>
  <c r="F21" i="4" l="1"/>
  <c r="B33" i="3" a="1"/>
  <c r="B14" i="3"/>
  <c r="B16" i="3" s="1"/>
  <c r="B17" i="3" s="1"/>
  <c r="B20" i="3" s="1"/>
  <c r="B24" i="3" s="1"/>
  <c r="C14" i="3"/>
  <c r="C16" i="3" s="1"/>
  <c r="C17" i="3" s="1"/>
  <c r="C20" i="3" s="1"/>
  <c r="C24" i="3" s="1"/>
  <c r="G14" i="3"/>
  <c r="G16" i="3" s="1"/>
  <c r="G17" i="3" s="1"/>
  <c r="G20" i="3" s="1"/>
  <c r="G24" i="3" s="1"/>
  <c r="I14" i="3"/>
  <c r="I16" i="3" s="1"/>
  <c r="I17" i="3" s="1"/>
  <c r="I20" i="3" s="1"/>
  <c r="I24" i="3" s="1"/>
  <c r="H14" i="3"/>
  <c r="H16" i="3" s="1"/>
  <c r="H17" i="3" s="1"/>
  <c r="H20" i="3" s="1"/>
  <c r="H24" i="3" s="1"/>
  <c r="J14" i="3"/>
  <c r="J16" i="3" s="1"/>
  <c r="J17" i="3" s="1"/>
  <c r="J20" i="3" s="1"/>
  <c r="J24" i="3" s="1"/>
  <c r="F14" i="3"/>
  <c r="F16" i="3" s="1"/>
  <c r="F17" i="3" s="1"/>
  <c r="F20" i="3" s="1"/>
  <c r="F24" i="3" s="1"/>
  <c r="D14" i="3"/>
  <c r="D16" i="3" s="1"/>
  <c r="D17" i="3" s="1"/>
  <c r="D20" i="3" s="1"/>
  <c r="D24" i="3" s="1"/>
  <c r="E14" i="3"/>
  <c r="E16" i="3" s="1"/>
  <c r="E17" i="3" s="1"/>
  <c r="E20" i="3" s="1"/>
  <c r="E24" i="3" s="1"/>
  <c r="L49" i="2"/>
  <c r="L57" i="2" s="1"/>
  <c r="L7" i="3" s="1"/>
  <c r="L8" i="3" s="1"/>
  <c r="L11" i="3" s="1"/>
  <c r="L14" i="3" s="1"/>
  <c r="K57" i="2"/>
  <c r="K7" i="3" s="1"/>
  <c r="K8" i="3" s="1"/>
  <c r="K11" i="3" s="1"/>
  <c r="K14" i="3" s="1"/>
  <c r="K16" i="3" s="1"/>
  <c r="K17" i="3" s="1"/>
  <c r="K20" i="3" s="1"/>
  <c r="K24" i="3" s="1"/>
  <c r="C25" i="3" l="1"/>
  <c r="D25" i="3"/>
  <c r="E25" i="3" s="1"/>
  <c r="F25" i="3" s="1"/>
  <c r="B33" i="3"/>
  <c r="B34" i="3" s="1"/>
  <c r="C33" i="3"/>
  <c r="C34" i="3" s="1"/>
  <c r="I33" i="3"/>
  <c r="I34" i="3" s="1"/>
  <c r="D33" i="3"/>
  <c r="D34" i="3" s="1"/>
  <c r="J33" i="3"/>
  <c r="J34" i="3" s="1"/>
  <c r="F33" i="3"/>
  <c r="F34" i="3" s="1"/>
  <c r="E33" i="3"/>
  <c r="E34" i="3" s="1"/>
  <c r="G33" i="3"/>
  <c r="G34" i="3" s="1"/>
  <c r="H33" i="3"/>
  <c r="H34" i="3" s="1"/>
  <c r="L33" i="3"/>
  <c r="L34" i="3" s="1"/>
  <c r="K33" i="3"/>
  <c r="K34" i="3" s="1"/>
  <c r="G21" i="4"/>
  <c r="B35" i="3" a="1"/>
  <c r="L16" i="3"/>
  <c r="L17" i="3" s="1"/>
  <c r="L20" i="3" s="1"/>
  <c r="L24" i="3" s="1"/>
  <c r="B30" i="3" s="1"/>
  <c r="G25" i="3" l="1"/>
  <c r="H25" i="3" s="1"/>
  <c r="I25" i="3" s="1"/>
  <c r="J25" i="3" s="1"/>
  <c r="K25" i="3" s="1"/>
  <c r="L25" i="3"/>
  <c r="B35" i="3"/>
  <c r="B37" i="3" s="1"/>
  <c r="L35" i="3"/>
  <c r="L37" i="3" s="1"/>
  <c r="K35" i="3"/>
  <c r="K37" i="3" s="1"/>
  <c r="F35" i="3"/>
  <c r="F37" i="3" s="1"/>
  <c r="C35" i="3"/>
  <c r="C37" i="3" s="1"/>
  <c r="C38" i="3" s="1"/>
  <c r="D38" i="3" s="1"/>
  <c r="E38" i="3" s="1"/>
  <c r="F38" i="3" s="1"/>
  <c r="H35" i="3"/>
  <c r="H37" i="3" s="1"/>
  <c r="J35" i="3"/>
  <c r="J37" i="3" s="1"/>
  <c r="E35" i="3"/>
  <c r="E37" i="3" s="1"/>
  <c r="D35" i="3"/>
  <c r="D37" i="3" s="1"/>
  <c r="I35" i="3"/>
  <c r="I37" i="3" s="1"/>
  <c r="G35" i="3"/>
  <c r="G37" i="3" s="1"/>
  <c r="B29" i="3"/>
  <c r="B27" i="3"/>
  <c r="G38" i="3" l="1"/>
  <c r="H38" i="3" s="1"/>
  <c r="I38" i="3" s="1"/>
  <c r="B44" i="3"/>
  <c r="B31" i="3"/>
  <c r="J38" i="3"/>
  <c r="K38" i="3" s="1"/>
  <c r="L38" i="3" s="1"/>
  <c r="B43" i="3"/>
  <c r="B42" i="3"/>
  <c r="B40" i="3"/>
</calcChain>
</file>

<file path=xl/sharedStrings.xml><?xml version="1.0" encoding="utf-8"?>
<sst xmlns="http://schemas.openxmlformats.org/spreadsheetml/2006/main" count="302" uniqueCount="150">
  <si>
    <t>Rubro / Ítem</t>
  </si>
  <si>
    <t>Cantidad / detalle</t>
  </si>
  <si>
    <t>Costo total estimado</t>
  </si>
  <si>
    <t>CELDA ROBÓTICA</t>
  </si>
  <si>
    <t>Cercado / protección de seguridad para celda</t>
  </si>
  <si>
    <t>Compresor para aire / pinza / sistema neumático</t>
  </si>
  <si>
    <t>SISTEMA DE PINTADO / MOVIMIENTO LINEAL</t>
  </si>
  <si>
    <t>Rieles lineales de 2 m + estructura soporte + base giratoria</t>
  </si>
  <si>
    <t>Base giratoria (mesa giratoria metálica / rotatoria)</t>
  </si>
  <si>
    <t>Aspersores / pistolas de pintura + sistema de pintura / mezcla + consumibles</t>
  </si>
  <si>
    <t>SISTEMA DE CONTROL</t>
  </si>
  <si>
    <t>PLC(s) + tarjetas de entrada/salida + módulos I/O</t>
  </si>
  <si>
    <t>HMI (panel interfaz operador)</t>
  </si>
  <si>
    <t>Cables, gabinete, instalación eléctrica / neumática / estructura de control</t>
  </si>
  <si>
    <t>MÁQUINAS A COMPRAR / ADAPTAR (CNC, talladoras, rectificadoras)</t>
  </si>
  <si>
    <t>SOFTWARE</t>
  </si>
  <si>
    <t>Robot ABB IRB 1600 + controlador</t>
  </si>
  <si>
    <t>tubo conexión compresor</t>
  </si>
  <si>
    <t>Actuadores cilindro doble efecto</t>
  </si>
  <si>
    <t>Ultrasonido 30 cm</t>
  </si>
  <si>
    <t>Variador para banda transportadora</t>
  </si>
  <si>
    <t>Banda transportadora industrial 70m</t>
  </si>
  <si>
    <t>Módulos de E/S digitales</t>
  </si>
  <si>
    <t>Módulo de comunicación Ethernet/IP</t>
  </si>
  <si>
    <t>Tablero Electrico</t>
  </si>
  <si>
    <t>Paros de emergencia + cableado</t>
  </si>
  <si>
    <t>Fuente de poder 24v 10A</t>
  </si>
  <si>
    <t>Valvulas</t>
  </si>
  <si>
    <t>Licencia Siemens Tecnomatix</t>
  </si>
  <si>
    <t>RobotStudio</t>
  </si>
  <si>
    <t>Studio 5000 Logix Designer</t>
  </si>
  <si>
    <t>Ignition Maker/Edge + Azure</t>
  </si>
  <si>
    <t>NX Mechatronics</t>
  </si>
  <si>
    <t>RSLinx</t>
  </si>
  <si>
    <t>Energia</t>
  </si>
  <si>
    <t>Almacenamiento-Posicionamiento de piezas</t>
  </si>
  <si>
    <t>Mantenimieto</t>
  </si>
  <si>
    <t>Honorarios (trabajo de automatizacion)</t>
  </si>
  <si>
    <t>Mantenimiento</t>
  </si>
  <si>
    <t>Ingeniero Programacion</t>
  </si>
  <si>
    <t>Ingeniero mecanico/por implementacion de mecanismos</t>
  </si>
  <si>
    <t>Sin fin-corona</t>
  </si>
  <si>
    <t>Engranajes conicos</t>
  </si>
  <si>
    <t>Engranajes Helicoidales</t>
  </si>
  <si>
    <t>Precios motorreductor mercado</t>
  </si>
  <si>
    <t>Sistema aire /  + accesorios neumáticos</t>
  </si>
  <si>
    <t>gripper (pinza neumática)</t>
  </si>
  <si>
    <t>Cuantas veces se desembolsa la maquina</t>
  </si>
  <si>
    <t>periodo</t>
  </si>
  <si>
    <t>año cero</t>
  </si>
  <si>
    <t>Tasa impositiva</t>
  </si>
  <si>
    <t>Numero de periodos</t>
  </si>
  <si>
    <t>Año cero</t>
  </si>
  <si>
    <t>Rubro (Ingreso/costo/gasto</t>
  </si>
  <si>
    <t>8 tecnicos</t>
  </si>
  <si>
    <t>4 para Almacenamiento-Posicionamiento de piezas</t>
  </si>
  <si>
    <t>1 ingeniero programacion</t>
  </si>
  <si>
    <t>1 mantenimiento</t>
  </si>
  <si>
    <t>1 Ingeniero mecanico/por implementacion de mecanismos</t>
  </si>
  <si>
    <t>Sistema de seguridad/alarma (sensores, sirena, panel)</t>
  </si>
  <si>
    <t>4 estudiantes</t>
  </si>
  <si>
    <t>Talladoras (2 unidades)</t>
  </si>
  <si>
    <t>Rectificadoras (2 unidades: 1 para engranajes, 1 para tornillos sin fin)</t>
  </si>
  <si>
    <t>unidad (usado, estado aceptable)</t>
  </si>
  <si>
    <t xml:space="preserve"> instalación</t>
  </si>
  <si>
    <t>sistema</t>
  </si>
  <si>
    <t>unidad</t>
  </si>
  <si>
    <t>set</t>
  </si>
  <si>
    <t>sistema de control</t>
  </si>
  <si>
    <t>SENSORES Y ACTUADORES</t>
  </si>
  <si>
    <t>MECANISMO BANDA</t>
  </si>
  <si>
    <t>SALARIO TRABAJADORES</t>
  </si>
  <si>
    <t>COSTOS OPERATIVOS ANUALES</t>
  </si>
  <si>
    <t>Total</t>
  </si>
  <si>
    <t>Costo</t>
  </si>
  <si>
    <t>Gasto</t>
  </si>
  <si>
    <t xml:space="preserve">Ingreso </t>
  </si>
  <si>
    <t>cada año</t>
  </si>
  <si>
    <t>COSTOS</t>
  </si>
  <si>
    <t xml:space="preserve">Total </t>
  </si>
  <si>
    <t>Total anual</t>
  </si>
  <si>
    <t>GASTOS</t>
  </si>
  <si>
    <t>Trabajador (Tecnico)</t>
  </si>
  <si>
    <t>Trabajador (Almacenamiento)</t>
  </si>
  <si>
    <t>Trabajador(Ingeniero Programación)</t>
  </si>
  <si>
    <t>Personal de Mantenimiento</t>
  </si>
  <si>
    <t>Trabajador Ingeniero Mecanico</t>
  </si>
  <si>
    <t>INGRESOS</t>
  </si>
  <si>
    <t>Costo Producción motorreductor</t>
  </si>
  <si>
    <t>Producción Sin fin-corona</t>
  </si>
  <si>
    <t>Producción Engranajes conicos</t>
  </si>
  <si>
    <t>Producción Engranajes Helicoidales</t>
  </si>
  <si>
    <t>Rectificadoras ( 1 para engranajes)</t>
  </si>
  <si>
    <t>depreciación anual</t>
  </si>
  <si>
    <t>Costos</t>
  </si>
  <si>
    <t>Utilidad Bruta</t>
  </si>
  <si>
    <t>Inflación</t>
  </si>
  <si>
    <t>Gradiente de crecimiento ingresos</t>
  </si>
  <si>
    <t>(crecimiento historico de los ingresoso de la industria)</t>
  </si>
  <si>
    <t>Gastos administrativos</t>
  </si>
  <si>
    <t>EBITDA</t>
  </si>
  <si>
    <t>Depreciación</t>
  </si>
  <si>
    <t>Utilidad Opercional (EBIT)</t>
  </si>
  <si>
    <t>Intereses</t>
  </si>
  <si>
    <t>Costo de la deuda</t>
  </si>
  <si>
    <t>% deuda</t>
  </si>
  <si>
    <t>CAPEX</t>
  </si>
  <si>
    <t>Deuda</t>
  </si>
  <si>
    <t>Kd</t>
  </si>
  <si>
    <t>nper</t>
  </si>
  <si>
    <t>Periodo</t>
  </si>
  <si>
    <t>Cuota</t>
  </si>
  <si>
    <t>saldo inicial</t>
  </si>
  <si>
    <t>cuota</t>
  </si>
  <si>
    <t>interes</t>
  </si>
  <si>
    <t>capital</t>
  </si>
  <si>
    <t>saldo final</t>
  </si>
  <si>
    <t>Utilidad antes de impuestos(EBT)</t>
  </si>
  <si>
    <t>Impuestos</t>
  </si>
  <si>
    <t>Utilidad neta</t>
  </si>
  <si>
    <t>Capex</t>
  </si>
  <si>
    <t>Flujo de caja Operativo</t>
  </si>
  <si>
    <t>Flujo Caja Libre</t>
  </si>
  <si>
    <t>Pago de Capital</t>
  </si>
  <si>
    <t>Flujo de caja del inversionista</t>
  </si>
  <si>
    <t>Tasa de rechazo  (yield perdida)</t>
  </si>
  <si>
    <t>TIR</t>
  </si>
  <si>
    <t>Intereses*(1-tx)</t>
  </si>
  <si>
    <t>Capital</t>
  </si>
  <si>
    <t>rf</t>
  </si>
  <si>
    <t>rm</t>
  </si>
  <si>
    <t>Beta</t>
  </si>
  <si>
    <t>años</t>
  </si>
  <si>
    <t>Ke</t>
  </si>
  <si>
    <t>VNA</t>
  </si>
  <si>
    <t>ROI</t>
  </si>
  <si>
    <t>cada semestre</t>
  </si>
  <si>
    <t>cada mensuales</t>
  </si>
  <si>
    <t>Arriendo</t>
  </si>
  <si>
    <t>Servicios (agua, internet, otros)</t>
  </si>
  <si>
    <t>Servicios</t>
  </si>
  <si>
    <t>Seguro</t>
  </si>
  <si>
    <t>GASTOS OPERATIVOS ANUALES</t>
  </si>
  <si>
    <t>NÓMINA ADMINISTRACIÓN</t>
  </si>
  <si>
    <t>Nómina administración</t>
  </si>
  <si>
    <t>Payback</t>
  </si>
  <si>
    <t>Información Adicional</t>
  </si>
  <si>
    <t>Cuanto se le deberia de pagar a 4 estudiantes casi graduados por la planificacion de este proyecto</t>
  </si>
  <si>
    <t>3 estudiantes</t>
  </si>
  <si>
    <t>Tecnicos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</si>
</sst>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&quot;Año&quot;\ General"/>
    <numFmt numFmtId="165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9" tint="0.39997558519241921"/>
      <name val="Calibri"/>
      <family val="2"/>
      <scheme val="minor"/>
    </font>
    <font>
      <sz val="11"/>
      <color rgb="FF00206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4" fontId="3" fillId="0" borderId="0" applyFont="0" applyFill="0" applyBorder="0" applyAlignment="0" applyProtection="0"/>
  </cellStyleXfs>
  <cellXfs count="4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0" xfId="0" applyFont="1"/>
    <xf numFmtId="44" fontId="1" fillId="0" borderId="0" xfId="2" applyFont="1" applyAlignment="1">
      <alignment vertical="center" wrapText="1"/>
    </xf>
    <xf numFmtId="44" fontId="0" fillId="0" borderId="0" xfId="2" applyFont="1" applyAlignment="1">
      <alignment vertical="center" wrapText="1"/>
    </xf>
    <xf numFmtId="44" fontId="1" fillId="0" borderId="0" xfId="2" applyFont="1"/>
    <xf numFmtId="44" fontId="0" fillId="0" borderId="0" xfId="2" applyFont="1"/>
    <xf numFmtId="44" fontId="3" fillId="0" borderId="0" xfId="2" applyFont="1" applyAlignment="1">
      <alignment vertical="center" wrapText="1"/>
    </xf>
    <xf numFmtId="44" fontId="0" fillId="0" borderId="0" xfId="2" applyFont="1" applyFill="1" applyAlignment="1">
      <alignment vertical="center" wrapText="1"/>
    </xf>
    <xf numFmtId="9" fontId="0" fillId="0" borderId="0" xfId="0" applyNumberFormat="1"/>
    <xf numFmtId="44" fontId="0" fillId="0" borderId="0" xfId="0" applyNumberFormat="1"/>
    <xf numFmtId="44" fontId="0" fillId="0" borderId="0" xfId="0" applyNumberFormat="1" applyAlignment="1">
      <alignment vertical="center" wrapText="1"/>
    </xf>
    <xf numFmtId="0" fontId="1" fillId="0" borderId="0" xfId="0" applyFont="1" applyAlignment="1">
      <alignment wrapText="1"/>
    </xf>
    <xf numFmtId="4" fontId="0" fillId="0" borderId="0" xfId="0" applyNumberFormat="1" applyAlignment="1">
      <alignment vertical="center" wrapText="1"/>
    </xf>
    <xf numFmtId="44" fontId="1" fillId="0" borderId="0" xfId="0" applyNumberFormat="1" applyFont="1"/>
    <xf numFmtId="8" fontId="0" fillId="0" borderId="0" xfId="0" applyNumberFormat="1"/>
    <xf numFmtId="8" fontId="4" fillId="0" borderId="0" xfId="0" applyNumberFormat="1" applyFont="1"/>
    <xf numFmtId="0" fontId="0" fillId="0" borderId="1" xfId="0" applyBorder="1"/>
    <xf numFmtId="8" fontId="0" fillId="0" borderId="1" xfId="0" applyNumberFormat="1" applyBorder="1"/>
    <xf numFmtId="10" fontId="0" fillId="0" borderId="0" xfId="0" applyNumberFormat="1"/>
    <xf numFmtId="44" fontId="3" fillId="0" borderId="0" xfId="2" applyFont="1"/>
    <xf numFmtId="8" fontId="5" fillId="0" borderId="0" xfId="0" applyNumberFormat="1" applyFont="1"/>
    <xf numFmtId="0" fontId="1" fillId="0" borderId="1" xfId="0" applyFont="1" applyBorder="1"/>
    <xf numFmtId="8" fontId="1" fillId="0" borderId="1" xfId="0" applyNumberFormat="1" applyFont="1" applyBorder="1"/>
    <xf numFmtId="8" fontId="5" fillId="2" borderId="1" xfId="0" applyNumberFormat="1" applyFont="1" applyFill="1" applyBorder="1"/>
    <xf numFmtId="0" fontId="1" fillId="0" borderId="1" xfId="0" applyFont="1" applyBorder="1" applyAlignment="1">
      <alignment vertical="center" wrapText="1"/>
    </xf>
    <xf numFmtId="44" fontId="0" fillId="0" borderId="1" xfId="0" applyNumberFormat="1" applyBorder="1"/>
    <xf numFmtId="0" fontId="1" fillId="3" borderId="1" xfId="0" applyFont="1" applyFill="1" applyBorder="1"/>
    <xf numFmtId="9" fontId="1" fillId="3" borderId="1" xfId="0" applyNumberFormat="1" applyFont="1" applyFill="1" applyBorder="1"/>
    <xf numFmtId="10" fontId="1" fillId="3" borderId="1" xfId="0" applyNumberFormat="1" applyFont="1" applyFill="1" applyBorder="1"/>
    <xf numFmtId="8" fontId="1" fillId="3" borderId="1" xfId="0" applyNumberFormat="1" applyFont="1" applyFill="1" applyBorder="1"/>
    <xf numFmtId="4" fontId="1" fillId="3" borderId="1" xfId="0" applyNumberFormat="1" applyFont="1" applyFill="1" applyBorder="1"/>
    <xf numFmtId="0" fontId="6" fillId="0" borderId="0" xfId="0" applyFont="1"/>
    <xf numFmtId="9" fontId="6" fillId="0" borderId="0" xfId="0" applyNumberFormat="1" applyFont="1"/>
    <xf numFmtId="165" fontId="6" fillId="0" borderId="0" xfId="0" applyNumberFormat="1" applyFont="1"/>
    <xf numFmtId="0" fontId="1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vertical="center" wrapText="1"/>
    </xf>
    <xf numFmtId="0" fontId="0" fillId="4" borderId="0" xfId="0" applyFill="1"/>
    <xf numFmtId="0" fontId="1" fillId="4" borderId="0" xfId="0" applyFont="1" applyFill="1" applyAlignment="1">
      <alignment wrapText="1"/>
    </xf>
    <xf numFmtId="0" fontId="0" fillId="4" borderId="1" xfId="0" applyFill="1" applyBorder="1"/>
    <xf numFmtId="164" fontId="1" fillId="4" borderId="1" xfId="0" applyNumberFormat="1" applyFont="1" applyFill="1" applyBorder="1" applyAlignment="1">
      <alignment horizontal="center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9DF54-1BE3-41D9-8680-224845B1D298}">
  <dimension ref="A1:J84"/>
  <sheetViews>
    <sheetView zoomScale="85" zoomScaleNormal="85" workbookViewId="0">
      <pane xSplit="1" topLeftCell="B1" activePane="topRight" state="frozen"/>
      <selection pane="topRight" activeCell="C75" sqref="C75"/>
    </sheetView>
  </sheetViews>
  <sheetFormatPr baseColWidth="10" defaultRowHeight="15" x14ac:dyDescent="0.25"/>
  <cols>
    <col min="1" max="1" width="55.5703125" customWidth="1"/>
    <col min="2" max="2" width="5.85546875" bestFit="1" customWidth="1"/>
    <col min="3" max="3" width="51.28515625" bestFit="1" customWidth="1"/>
    <col min="4" max="4" width="49.7109375" bestFit="1" customWidth="1"/>
    <col min="5" max="5" width="18.42578125" bestFit="1" customWidth="1"/>
    <col min="6" max="6" width="17" bestFit="1" customWidth="1"/>
    <col min="8" max="8" width="11.28515625" bestFit="1" customWidth="1"/>
    <col min="9" max="9" width="8.5703125" bestFit="1" customWidth="1"/>
    <col min="10" max="10" width="18.5703125" bestFit="1" customWidth="1"/>
  </cols>
  <sheetData>
    <row r="1" spans="1:10" x14ac:dyDescent="0.25">
      <c r="A1" s="35" t="s">
        <v>50</v>
      </c>
      <c r="B1" s="36">
        <v>0.35</v>
      </c>
      <c r="C1" s="36"/>
    </row>
    <row r="2" spans="1:10" x14ac:dyDescent="0.25">
      <c r="A2" s="35" t="s">
        <v>97</v>
      </c>
      <c r="B2" s="37">
        <v>0.04</v>
      </c>
      <c r="C2" s="35" t="s">
        <v>98</v>
      </c>
    </row>
    <row r="3" spans="1:10" x14ac:dyDescent="0.25">
      <c r="A3" s="35" t="s">
        <v>96</v>
      </c>
      <c r="B3" s="37">
        <v>3.5000000000000003E-2</v>
      </c>
      <c r="C3" s="36"/>
    </row>
    <row r="4" spans="1:10" x14ac:dyDescent="0.25">
      <c r="A4" s="35" t="s">
        <v>104</v>
      </c>
      <c r="B4" s="36">
        <v>0.2</v>
      </c>
      <c r="C4" s="36"/>
    </row>
    <row r="5" spans="1:10" x14ac:dyDescent="0.25">
      <c r="A5" s="35" t="s">
        <v>105</v>
      </c>
      <c r="B5" s="36">
        <v>0.3</v>
      </c>
      <c r="C5" s="36"/>
    </row>
    <row r="6" spans="1:10" ht="13.9" customHeight="1" x14ac:dyDescent="0.25">
      <c r="A6" s="35" t="s">
        <v>125</v>
      </c>
      <c r="B6" s="36">
        <v>0.05</v>
      </c>
      <c r="C6" s="36"/>
    </row>
    <row r="7" spans="1:10" x14ac:dyDescent="0.25">
      <c r="A7" s="35" t="s">
        <v>51</v>
      </c>
      <c r="B7" s="35">
        <v>10</v>
      </c>
      <c r="C7" s="35" t="s">
        <v>132</v>
      </c>
    </row>
    <row r="8" spans="1:10" ht="75" x14ac:dyDescent="0.25">
      <c r="A8" s="38" t="s">
        <v>0</v>
      </c>
      <c r="B8" s="39" t="s">
        <v>1</v>
      </c>
      <c r="C8" s="39"/>
      <c r="D8" s="38" t="s">
        <v>146</v>
      </c>
      <c r="E8" s="38" t="s">
        <v>2</v>
      </c>
      <c r="F8" s="38" t="s">
        <v>79</v>
      </c>
      <c r="G8" s="38" t="s">
        <v>53</v>
      </c>
      <c r="H8" s="38" t="s">
        <v>47</v>
      </c>
      <c r="I8" s="38" t="s">
        <v>48</v>
      </c>
      <c r="J8" s="38" t="s">
        <v>80</v>
      </c>
    </row>
    <row r="9" spans="1:10" x14ac:dyDescent="0.25">
      <c r="A9" s="3" t="s">
        <v>3</v>
      </c>
      <c r="B9" s="2"/>
      <c r="C9" s="2"/>
      <c r="D9" s="2"/>
      <c r="E9" s="2"/>
      <c r="F9" s="2"/>
      <c r="H9">
        <v>1</v>
      </c>
      <c r="I9" t="s">
        <v>49</v>
      </c>
    </row>
    <row r="10" spans="1:10" x14ac:dyDescent="0.25">
      <c r="A10" s="2" t="s">
        <v>16</v>
      </c>
      <c r="B10" s="2">
        <v>1</v>
      </c>
      <c r="C10" s="2" t="s">
        <v>63</v>
      </c>
      <c r="D10" s="4"/>
      <c r="E10" s="10">
        <v>100000000</v>
      </c>
      <c r="F10" s="10">
        <f>E10*B10</f>
        <v>100000000</v>
      </c>
      <c r="G10" s="2" t="s">
        <v>74</v>
      </c>
      <c r="H10">
        <v>1</v>
      </c>
      <c r="I10" t="s">
        <v>49</v>
      </c>
      <c r="J10" s="13">
        <f>F10*H10</f>
        <v>100000000</v>
      </c>
    </row>
    <row r="11" spans="1:10" x14ac:dyDescent="0.25">
      <c r="A11" s="2" t="s">
        <v>4</v>
      </c>
      <c r="B11" s="2">
        <v>1</v>
      </c>
      <c r="C11" s="2" t="s">
        <v>64</v>
      </c>
      <c r="D11" s="2"/>
      <c r="E11" s="7">
        <v>10000000</v>
      </c>
      <c r="F11" s="10">
        <f t="shared" ref="F11:F78" si="0">E11*B11</f>
        <v>10000000</v>
      </c>
      <c r="G11" t="s">
        <v>74</v>
      </c>
      <c r="H11">
        <v>1</v>
      </c>
      <c r="I11" t="s">
        <v>49</v>
      </c>
      <c r="J11" s="13">
        <f t="shared" ref="J11:J78" si="1">F11*H11</f>
        <v>10000000</v>
      </c>
    </row>
    <row r="12" spans="1:10" x14ac:dyDescent="0.25">
      <c r="A12" s="2" t="s">
        <v>46</v>
      </c>
      <c r="B12" s="2">
        <v>1</v>
      </c>
      <c r="C12" s="2"/>
      <c r="D12" s="2"/>
      <c r="E12" s="7">
        <v>4000000</v>
      </c>
      <c r="F12" s="10">
        <f t="shared" si="0"/>
        <v>4000000</v>
      </c>
      <c r="G12" t="s">
        <v>74</v>
      </c>
      <c r="H12">
        <v>1</v>
      </c>
      <c r="I12" t="s">
        <v>49</v>
      </c>
      <c r="J12" s="13">
        <f t="shared" si="1"/>
        <v>4000000</v>
      </c>
    </row>
    <row r="13" spans="1:10" x14ac:dyDescent="0.25">
      <c r="A13" s="2" t="s">
        <v>45</v>
      </c>
      <c r="B13" s="2">
        <v>1</v>
      </c>
      <c r="C13" s="2" t="s">
        <v>65</v>
      </c>
      <c r="D13" s="2"/>
      <c r="E13" s="7">
        <v>5100000</v>
      </c>
      <c r="F13" s="10">
        <f t="shared" si="0"/>
        <v>5100000</v>
      </c>
      <c r="G13" t="s">
        <v>74</v>
      </c>
      <c r="H13">
        <v>1</v>
      </c>
      <c r="I13" t="s">
        <v>49</v>
      </c>
      <c r="J13" s="13">
        <f t="shared" si="1"/>
        <v>5100000</v>
      </c>
    </row>
    <row r="14" spans="1:10" x14ac:dyDescent="0.25">
      <c r="A14" s="2" t="s">
        <v>5</v>
      </c>
      <c r="B14" s="2">
        <v>1</v>
      </c>
      <c r="C14" s="2" t="s">
        <v>66</v>
      </c>
      <c r="D14" s="4"/>
      <c r="E14" s="7">
        <v>8000000</v>
      </c>
      <c r="F14" s="10">
        <f t="shared" si="0"/>
        <v>8000000</v>
      </c>
      <c r="G14" t="s">
        <v>74</v>
      </c>
      <c r="H14">
        <v>1</v>
      </c>
      <c r="I14" t="s">
        <v>49</v>
      </c>
      <c r="J14" s="13">
        <f t="shared" si="1"/>
        <v>8000000</v>
      </c>
    </row>
    <row r="15" spans="1:10" x14ac:dyDescent="0.25">
      <c r="A15" s="2" t="s">
        <v>59</v>
      </c>
      <c r="B15" s="2">
        <v>1</v>
      </c>
      <c r="C15" s="2"/>
      <c r="D15" s="4"/>
      <c r="E15" s="7">
        <v>1500000</v>
      </c>
      <c r="F15" s="10">
        <f t="shared" si="0"/>
        <v>1500000</v>
      </c>
      <c r="G15" t="s">
        <v>74</v>
      </c>
      <c r="H15">
        <v>1</v>
      </c>
      <c r="I15" t="s">
        <v>49</v>
      </c>
      <c r="J15" s="13">
        <f t="shared" si="1"/>
        <v>1500000</v>
      </c>
    </row>
    <row r="16" spans="1:10" x14ac:dyDescent="0.25">
      <c r="A16" s="2" t="s">
        <v>25</v>
      </c>
      <c r="B16" s="2">
        <v>1</v>
      </c>
      <c r="C16" s="2"/>
      <c r="D16" s="4"/>
      <c r="E16" s="7">
        <v>650000</v>
      </c>
      <c r="F16" s="10">
        <f t="shared" si="0"/>
        <v>650000</v>
      </c>
      <c r="G16" t="s">
        <v>74</v>
      </c>
      <c r="H16">
        <v>1</v>
      </c>
      <c r="I16" t="s">
        <v>49</v>
      </c>
      <c r="J16" s="13">
        <f t="shared" si="1"/>
        <v>650000</v>
      </c>
    </row>
    <row r="17" spans="1:10" x14ac:dyDescent="0.25">
      <c r="A17" s="2" t="s">
        <v>24</v>
      </c>
      <c r="B17" s="2">
        <v>1</v>
      </c>
      <c r="C17" s="2"/>
      <c r="D17" s="4"/>
      <c r="E17" s="7">
        <v>2800000</v>
      </c>
      <c r="F17" s="10">
        <f t="shared" si="0"/>
        <v>2800000</v>
      </c>
      <c r="G17" t="s">
        <v>74</v>
      </c>
      <c r="H17">
        <v>1</v>
      </c>
      <c r="I17" t="s">
        <v>49</v>
      </c>
      <c r="J17" s="13">
        <f t="shared" si="1"/>
        <v>2800000</v>
      </c>
    </row>
    <row r="18" spans="1:10" x14ac:dyDescent="0.25">
      <c r="A18" s="3" t="s">
        <v>6</v>
      </c>
      <c r="B18" s="2"/>
      <c r="C18" s="2"/>
      <c r="D18" s="2"/>
      <c r="E18" s="6"/>
      <c r="F18" s="10"/>
      <c r="J18" s="13"/>
    </row>
    <row r="19" spans="1:10" x14ac:dyDescent="0.25">
      <c r="A19" s="2" t="s">
        <v>7</v>
      </c>
      <c r="B19" s="2">
        <v>1</v>
      </c>
      <c r="C19" s="2" t="s">
        <v>67</v>
      </c>
      <c r="D19" s="2"/>
      <c r="E19" s="7">
        <v>4000000</v>
      </c>
      <c r="F19" s="10">
        <f t="shared" si="0"/>
        <v>4000000</v>
      </c>
      <c r="G19" t="s">
        <v>74</v>
      </c>
      <c r="H19">
        <v>1</v>
      </c>
      <c r="I19" t="s">
        <v>49</v>
      </c>
      <c r="J19" s="13">
        <f t="shared" si="1"/>
        <v>4000000</v>
      </c>
    </row>
    <row r="20" spans="1:10" x14ac:dyDescent="0.25">
      <c r="A20" s="2" t="s">
        <v>8</v>
      </c>
      <c r="B20" s="2">
        <v>1</v>
      </c>
      <c r="C20" s="2" t="s">
        <v>66</v>
      </c>
      <c r="D20" s="2"/>
      <c r="E20" s="7">
        <v>4000000</v>
      </c>
      <c r="F20" s="10">
        <f t="shared" si="0"/>
        <v>4000000</v>
      </c>
      <c r="G20" t="s">
        <v>74</v>
      </c>
      <c r="H20">
        <v>1</v>
      </c>
      <c r="I20" t="s">
        <v>49</v>
      </c>
      <c r="J20" s="13">
        <f t="shared" si="1"/>
        <v>4000000</v>
      </c>
    </row>
    <row r="21" spans="1:10" x14ac:dyDescent="0.25">
      <c r="A21" s="2" t="s">
        <v>17</v>
      </c>
      <c r="B21" s="2">
        <v>1</v>
      </c>
      <c r="C21" s="2"/>
      <c r="D21" s="2"/>
      <c r="E21" s="11">
        <v>200000</v>
      </c>
      <c r="F21" s="10">
        <f t="shared" si="0"/>
        <v>200000</v>
      </c>
      <c r="G21" t="s">
        <v>74</v>
      </c>
      <c r="H21">
        <v>1</v>
      </c>
      <c r="I21" t="s">
        <v>49</v>
      </c>
      <c r="J21" s="13">
        <f t="shared" si="1"/>
        <v>200000</v>
      </c>
    </row>
    <row r="22" spans="1:10" ht="30" x14ac:dyDescent="0.25">
      <c r="A22" s="2" t="s">
        <v>9</v>
      </c>
      <c r="B22" s="2">
        <v>1</v>
      </c>
      <c r="C22" s="2" t="s">
        <v>66</v>
      </c>
      <c r="D22" s="2"/>
      <c r="E22" s="7">
        <v>2200000</v>
      </c>
      <c r="F22" s="10">
        <f t="shared" si="0"/>
        <v>2200000</v>
      </c>
      <c r="G22" t="s">
        <v>74</v>
      </c>
      <c r="H22">
        <v>1</v>
      </c>
      <c r="I22" t="s">
        <v>49</v>
      </c>
      <c r="J22" s="13">
        <f t="shared" si="1"/>
        <v>2200000</v>
      </c>
    </row>
    <row r="23" spans="1:10" x14ac:dyDescent="0.25">
      <c r="A23" s="3" t="s">
        <v>10</v>
      </c>
      <c r="B23" s="2"/>
      <c r="C23" s="2"/>
      <c r="D23" s="2"/>
      <c r="E23" s="6"/>
      <c r="F23" s="10"/>
      <c r="J23" s="13"/>
    </row>
    <row r="24" spans="1:10" x14ac:dyDescent="0.25">
      <c r="A24" s="2" t="s">
        <v>11</v>
      </c>
      <c r="B24" s="2">
        <v>1</v>
      </c>
      <c r="C24" s="2" t="s">
        <v>68</v>
      </c>
      <c r="D24" s="4"/>
      <c r="E24" s="7">
        <v>4000000</v>
      </c>
      <c r="F24" s="10">
        <f t="shared" si="0"/>
        <v>4000000</v>
      </c>
      <c r="G24" t="s">
        <v>74</v>
      </c>
      <c r="H24">
        <v>1</v>
      </c>
      <c r="I24" t="s">
        <v>49</v>
      </c>
      <c r="J24" s="13">
        <f t="shared" si="1"/>
        <v>4000000</v>
      </c>
    </row>
    <row r="25" spans="1:10" x14ac:dyDescent="0.25">
      <c r="A25" s="2" t="s">
        <v>12</v>
      </c>
      <c r="B25" s="2">
        <v>1</v>
      </c>
      <c r="C25" s="2" t="s">
        <v>66</v>
      </c>
      <c r="D25" s="4"/>
      <c r="E25" s="7">
        <v>5000000</v>
      </c>
      <c r="F25" s="10">
        <f t="shared" si="0"/>
        <v>5000000</v>
      </c>
      <c r="G25" t="s">
        <v>74</v>
      </c>
      <c r="H25">
        <v>1</v>
      </c>
      <c r="I25" t="s">
        <v>49</v>
      </c>
      <c r="J25" s="13">
        <f t="shared" si="1"/>
        <v>5000000</v>
      </c>
    </row>
    <row r="26" spans="1:10" x14ac:dyDescent="0.25">
      <c r="A26" s="2" t="s">
        <v>23</v>
      </c>
      <c r="B26" s="2">
        <v>1</v>
      </c>
      <c r="C26" s="2"/>
      <c r="D26" s="4"/>
      <c r="E26" s="7">
        <v>3000000</v>
      </c>
      <c r="F26" s="10">
        <f t="shared" si="0"/>
        <v>3000000</v>
      </c>
      <c r="G26" t="s">
        <v>74</v>
      </c>
      <c r="H26">
        <v>1</v>
      </c>
      <c r="I26" t="s">
        <v>49</v>
      </c>
      <c r="J26" s="13">
        <f t="shared" si="1"/>
        <v>3000000</v>
      </c>
    </row>
    <row r="27" spans="1:10" x14ac:dyDescent="0.25">
      <c r="A27" s="2" t="s">
        <v>22</v>
      </c>
      <c r="B27" s="2">
        <v>1</v>
      </c>
      <c r="C27" s="2"/>
      <c r="D27" s="4"/>
      <c r="E27" s="7">
        <v>4000000</v>
      </c>
      <c r="F27" s="10">
        <f t="shared" si="0"/>
        <v>4000000</v>
      </c>
      <c r="G27" t="s">
        <v>74</v>
      </c>
      <c r="H27">
        <v>1</v>
      </c>
      <c r="I27" t="s">
        <v>49</v>
      </c>
      <c r="J27" s="13">
        <f t="shared" si="1"/>
        <v>4000000</v>
      </c>
    </row>
    <row r="28" spans="1:10" ht="30" x14ac:dyDescent="0.25">
      <c r="A28" s="2" t="s">
        <v>13</v>
      </c>
      <c r="B28" s="2">
        <v>1</v>
      </c>
      <c r="C28" s="2"/>
      <c r="D28" s="2"/>
      <c r="E28" s="7">
        <v>6000000</v>
      </c>
      <c r="F28" s="10">
        <f t="shared" si="0"/>
        <v>6000000</v>
      </c>
      <c r="G28" t="s">
        <v>74</v>
      </c>
      <c r="H28">
        <v>1</v>
      </c>
      <c r="I28" t="s">
        <v>49</v>
      </c>
      <c r="J28" s="13">
        <f t="shared" si="1"/>
        <v>6000000</v>
      </c>
    </row>
    <row r="29" spans="1:10" x14ac:dyDescent="0.25">
      <c r="A29" s="2" t="s">
        <v>26</v>
      </c>
      <c r="B29" s="2">
        <v>1</v>
      </c>
      <c r="C29" s="2"/>
      <c r="D29" s="2"/>
      <c r="E29" s="7">
        <v>300000</v>
      </c>
      <c r="F29" s="10">
        <f t="shared" si="0"/>
        <v>300000</v>
      </c>
      <c r="G29" t="s">
        <v>74</v>
      </c>
      <c r="H29">
        <v>1</v>
      </c>
      <c r="I29" t="s">
        <v>49</v>
      </c>
      <c r="J29" s="13">
        <f t="shared" si="1"/>
        <v>300000</v>
      </c>
    </row>
    <row r="30" spans="1:10" ht="30" x14ac:dyDescent="0.25">
      <c r="A30" s="3" t="s">
        <v>14</v>
      </c>
      <c r="B30" s="2"/>
      <c r="C30" s="2"/>
      <c r="D30" s="2"/>
      <c r="E30" s="6"/>
      <c r="F30" s="10"/>
      <c r="J30" s="13"/>
    </row>
    <row r="31" spans="1:10" x14ac:dyDescent="0.25">
      <c r="A31" s="2" t="s">
        <v>61</v>
      </c>
      <c r="B31" s="2">
        <v>2</v>
      </c>
      <c r="C31" s="2"/>
      <c r="D31" s="2"/>
      <c r="E31" s="7">
        <v>15000000</v>
      </c>
      <c r="F31" s="10">
        <f t="shared" si="0"/>
        <v>30000000</v>
      </c>
      <c r="G31" t="s">
        <v>74</v>
      </c>
      <c r="H31">
        <v>1</v>
      </c>
      <c r="I31" t="s">
        <v>49</v>
      </c>
      <c r="J31" s="13">
        <f t="shared" si="1"/>
        <v>30000000</v>
      </c>
    </row>
    <row r="32" spans="1:10" x14ac:dyDescent="0.25">
      <c r="A32" s="2" t="s">
        <v>92</v>
      </c>
      <c r="B32" s="2">
        <v>1</v>
      </c>
      <c r="C32" s="2"/>
      <c r="D32" s="2"/>
      <c r="E32" s="7">
        <v>80000000</v>
      </c>
      <c r="F32" s="10">
        <f>E32*B32</f>
        <v>80000000</v>
      </c>
      <c r="G32" t="s">
        <v>74</v>
      </c>
      <c r="H32">
        <v>1</v>
      </c>
      <c r="I32" t="s">
        <v>49</v>
      </c>
      <c r="J32" s="13">
        <f t="shared" si="1"/>
        <v>80000000</v>
      </c>
    </row>
    <row r="33" spans="1:10" x14ac:dyDescent="0.25">
      <c r="A33" s="2"/>
      <c r="B33" s="2"/>
      <c r="C33" s="2"/>
      <c r="D33" s="2"/>
      <c r="E33" s="7"/>
      <c r="F33" s="10"/>
      <c r="J33" s="13"/>
    </row>
    <row r="34" spans="1:10" x14ac:dyDescent="0.25">
      <c r="A34" s="3" t="s">
        <v>69</v>
      </c>
      <c r="E34" s="6"/>
      <c r="F34" s="10"/>
      <c r="J34" s="13"/>
    </row>
    <row r="35" spans="1:10" x14ac:dyDescent="0.25">
      <c r="A35" s="2" t="s">
        <v>18</v>
      </c>
      <c r="B35">
        <v>3</v>
      </c>
      <c r="E35" s="7">
        <v>300000</v>
      </c>
      <c r="F35" s="10">
        <f t="shared" si="0"/>
        <v>900000</v>
      </c>
      <c r="G35" t="s">
        <v>74</v>
      </c>
      <c r="H35">
        <v>1</v>
      </c>
      <c r="I35" t="s">
        <v>49</v>
      </c>
      <c r="J35" s="13">
        <f t="shared" si="1"/>
        <v>900000</v>
      </c>
    </row>
    <row r="36" spans="1:10" x14ac:dyDescent="0.25">
      <c r="A36" s="2" t="s">
        <v>19</v>
      </c>
      <c r="B36">
        <v>6</v>
      </c>
      <c r="E36" s="7">
        <v>180000</v>
      </c>
      <c r="F36" s="10">
        <f t="shared" si="0"/>
        <v>1080000</v>
      </c>
      <c r="G36" t="s">
        <v>74</v>
      </c>
      <c r="H36">
        <v>1</v>
      </c>
      <c r="I36" t="s">
        <v>49</v>
      </c>
      <c r="J36" s="13">
        <f t="shared" si="1"/>
        <v>1080000</v>
      </c>
    </row>
    <row r="37" spans="1:10" x14ac:dyDescent="0.25">
      <c r="A37" s="2" t="s">
        <v>27</v>
      </c>
      <c r="B37">
        <v>5</v>
      </c>
      <c r="E37" s="7">
        <v>180000</v>
      </c>
      <c r="F37" s="10">
        <f t="shared" si="0"/>
        <v>900000</v>
      </c>
      <c r="G37" t="s">
        <v>74</v>
      </c>
      <c r="H37">
        <v>1</v>
      </c>
      <c r="I37" t="s">
        <v>49</v>
      </c>
      <c r="J37" s="13">
        <f t="shared" si="1"/>
        <v>900000</v>
      </c>
    </row>
    <row r="38" spans="1:10" x14ac:dyDescent="0.25">
      <c r="A38" s="2"/>
      <c r="E38" s="7"/>
      <c r="F38" s="10"/>
      <c r="J38" s="13"/>
    </row>
    <row r="39" spans="1:10" x14ac:dyDescent="0.25">
      <c r="A39" s="3" t="s">
        <v>70</v>
      </c>
      <c r="E39" s="6"/>
      <c r="F39" s="10"/>
      <c r="J39" s="13"/>
    </row>
    <row r="40" spans="1:10" x14ac:dyDescent="0.25">
      <c r="A40" s="2" t="s">
        <v>21</v>
      </c>
      <c r="B40">
        <v>1</v>
      </c>
      <c r="E40" s="7">
        <v>82500000</v>
      </c>
      <c r="F40" s="10">
        <f t="shared" si="0"/>
        <v>82500000</v>
      </c>
      <c r="G40" t="s">
        <v>74</v>
      </c>
      <c r="H40">
        <v>1</v>
      </c>
      <c r="I40" t="s">
        <v>49</v>
      </c>
      <c r="J40" s="13">
        <f t="shared" si="1"/>
        <v>82500000</v>
      </c>
    </row>
    <row r="41" spans="1:10" x14ac:dyDescent="0.25">
      <c r="A41" s="2" t="s">
        <v>20</v>
      </c>
      <c r="B41">
        <v>1</v>
      </c>
      <c r="E41" s="7">
        <v>2500000</v>
      </c>
      <c r="F41" s="10">
        <f t="shared" si="0"/>
        <v>2500000</v>
      </c>
      <c r="G41" t="s">
        <v>74</v>
      </c>
      <c r="H41">
        <v>1</v>
      </c>
      <c r="I41" t="s">
        <v>49</v>
      </c>
      <c r="J41" s="13">
        <f t="shared" si="1"/>
        <v>2500000</v>
      </c>
    </row>
    <row r="42" spans="1:10" x14ac:dyDescent="0.25">
      <c r="A42" s="2"/>
      <c r="E42" s="7"/>
      <c r="F42" s="10"/>
      <c r="J42" s="13"/>
    </row>
    <row r="43" spans="1:10" x14ac:dyDescent="0.25">
      <c r="A43" s="3" t="s">
        <v>15</v>
      </c>
      <c r="E43" s="6"/>
      <c r="F43" s="10"/>
      <c r="J43" s="13"/>
    </row>
    <row r="44" spans="1:10" x14ac:dyDescent="0.25">
      <c r="A44" s="2" t="s">
        <v>28</v>
      </c>
      <c r="B44">
        <v>1</v>
      </c>
      <c r="E44" s="7">
        <v>6000000</v>
      </c>
      <c r="F44" s="10">
        <f t="shared" si="0"/>
        <v>6000000</v>
      </c>
      <c r="G44" t="s">
        <v>74</v>
      </c>
      <c r="H44">
        <v>1</v>
      </c>
      <c r="I44" t="s">
        <v>49</v>
      </c>
      <c r="J44" s="13">
        <f t="shared" si="1"/>
        <v>6000000</v>
      </c>
    </row>
    <row r="45" spans="1:10" x14ac:dyDescent="0.25">
      <c r="A45" s="2" t="s">
        <v>29</v>
      </c>
      <c r="B45">
        <v>1</v>
      </c>
      <c r="E45" s="7">
        <v>5800000</v>
      </c>
      <c r="F45" s="10">
        <f t="shared" si="0"/>
        <v>5800000</v>
      </c>
      <c r="G45" t="s">
        <v>74</v>
      </c>
      <c r="H45">
        <v>1</v>
      </c>
      <c r="I45" t="s">
        <v>49</v>
      </c>
      <c r="J45" s="13">
        <f t="shared" si="1"/>
        <v>5800000</v>
      </c>
    </row>
    <row r="46" spans="1:10" x14ac:dyDescent="0.25">
      <c r="A46" s="2" t="s">
        <v>30</v>
      </c>
      <c r="B46">
        <v>1</v>
      </c>
      <c r="E46" s="7">
        <v>7000000</v>
      </c>
      <c r="F46" s="10">
        <f t="shared" si="0"/>
        <v>7000000</v>
      </c>
      <c r="G46" t="s">
        <v>74</v>
      </c>
      <c r="H46">
        <v>1</v>
      </c>
      <c r="I46" t="s">
        <v>49</v>
      </c>
      <c r="J46" s="13">
        <f t="shared" si="1"/>
        <v>7000000</v>
      </c>
    </row>
    <row r="47" spans="1:10" x14ac:dyDescent="0.25">
      <c r="A47" s="2" t="s">
        <v>31</v>
      </c>
      <c r="B47">
        <v>1</v>
      </c>
      <c r="E47" s="7">
        <v>4130000</v>
      </c>
      <c r="F47" s="10">
        <f t="shared" si="0"/>
        <v>4130000</v>
      </c>
      <c r="G47" t="s">
        <v>74</v>
      </c>
      <c r="H47">
        <v>1</v>
      </c>
      <c r="I47" t="s">
        <v>77</v>
      </c>
      <c r="J47" s="13">
        <f t="shared" si="1"/>
        <v>4130000</v>
      </c>
    </row>
    <row r="48" spans="1:10" x14ac:dyDescent="0.25">
      <c r="A48" s="2" t="s">
        <v>32</v>
      </c>
      <c r="B48">
        <v>1</v>
      </c>
      <c r="E48" s="7">
        <v>30000000</v>
      </c>
      <c r="F48" s="10">
        <f t="shared" si="0"/>
        <v>30000000</v>
      </c>
      <c r="G48" t="s">
        <v>74</v>
      </c>
      <c r="H48">
        <v>1</v>
      </c>
      <c r="I48" t="s">
        <v>49</v>
      </c>
      <c r="J48" s="13">
        <f t="shared" si="1"/>
        <v>30000000</v>
      </c>
    </row>
    <row r="49" spans="1:10" x14ac:dyDescent="0.25">
      <c r="A49" s="2" t="s">
        <v>33</v>
      </c>
      <c r="B49">
        <v>1</v>
      </c>
      <c r="E49" s="7">
        <v>1200000</v>
      </c>
      <c r="F49" s="10">
        <f t="shared" si="0"/>
        <v>1200000</v>
      </c>
      <c r="G49" t="s">
        <v>74</v>
      </c>
      <c r="H49">
        <v>1</v>
      </c>
      <c r="I49" t="s">
        <v>49</v>
      </c>
      <c r="J49" s="13">
        <f t="shared" si="1"/>
        <v>1200000</v>
      </c>
    </row>
    <row r="50" spans="1:10" x14ac:dyDescent="0.25">
      <c r="A50" s="2"/>
      <c r="E50" s="7"/>
      <c r="F50" s="10"/>
      <c r="J50" s="13"/>
    </row>
    <row r="51" spans="1:10" x14ac:dyDescent="0.25">
      <c r="E51" s="9"/>
      <c r="F51" s="10"/>
      <c r="J51" s="13"/>
    </row>
    <row r="52" spans="1:10" x14ac:dyDescent="0.25">
      <c r="A52" s="5" t="s">
        <v>71</v>
      </c>
      <c r="E52" s="8"/>
      <c r="F52" s="10"/>
      <c r="J52" s="13"/>
    </row>
    <row r="53" spans="1:10" x14ac:dyDescent="0.25">
      <c r="A53" s="2" t="s">
        <v>82</v>
      </c>
      <c r="B53">
        <v>8</v>
      </c>
      <c r="C53" t="s">
        <v>54</v>
      </c>
      <c r="D53" t="s">
        <v>149</v>
      </c>
      <c r="E53" s="7">
        <v>1600000</v>
      </c>
      <c r="F53" s="10">
        <f t="shared" si="0"/>
        <v>12800000</v>
      </c>
      <c r="G53" t="s">
        <v>75</v>
      </c>
      <c r="H53">
        <v>12</v>
      </c>
      <c r="I53" t="s">
        <v>77</v>
      </c>
      <c r="J53" s="13">
        <f t="shared" si="1"/>
        <v>153600000</v>
      </c>
    </row>
    <row r="54" spans="1:10" x14ac:dyDescent="0.25">
      <c r="A54" s="2" t="s">
        <v>83</v>
      </c>
      <c r="B54">
        <v>4</v>
      </c>
      <c r="C54" t="s">
        <v>55</v>
      </c>
      <c r="D54" t="s">
        <v>35</v>
      </c>
      <c r="E54" s="7">
        <v>1600000</v>
      </c>
      <c r="F54" s="10">
        <f t="shared" si="0"/>
        <v>6400000</v>
      </c>
      <c r="G54" t="s">
        <v>75</v>
      </c>
      <c r="H54">
        <v>12</v>
      </c>
      <c r="I54" t="s">
        <v>77</v>
      </c>
      <c r="J54" s="13">
        <f t="shared" si="1"/>
        <v>76800000</v>
      </c>
    </row>
    <row r="55" spans="1:10" x14ac:dyDescent="0.25">
      <c r="A55" s="2" t="s">
        <v>84</v>
      </c>
      <c r="B55">
        <v>1</v>
      </c>
      <c r="C55" t="s">
        <v>56</v>
      </c>
      <c r="D55" t="s">
        <v>39</v>
      </c>
      <c r="E55" s="7">
        <v>4000000</v>
      </c>
      <c r="F55" s="10">
        <f t="shared" si="0"/>
        <v>4000000</v>
      </c>
      <c r="G55" t="s">
        <v>75</v>
      </c>
      <c r="H55">
        <v>12</v>
      </c>
      <c r="I55" t="s">
        <v>77</v>
      </c>
      <c r="J55" s="13">
        <f t="shared" si="1"/>
        <v>48000000</v>
      </c>
    </row>
    <row r="56" spans="1:10" x14ac:dyDescent="0.25">
      <c r="A56" s="2" t="s">
        <v>85</v>
      </c>
      <c r="B56">
        <v>1</v>
      </c>
      <c r="C56" t="s">
        <v>57</v>
      </c>
      <c r="D56" t="s">
        <v>38</v>
      </c>
      <c r="E56" s="7">
        <v>1800000</v>
      </c>
      <c r="F56" s="10">
        <f t="shared" si="0"/>
        <v>1800000</v>
      </c>
      <c r="G56" t="s">
        <v>75</v>
      </c>
      <c r="H56">
        <v>12</v>
      </c>
      <c r="I56" t="s">
        <v>77</v>
      </c>
      <c r="J56" s="13">
        <f t="shared" si="1"/>
        <v>21600000</v>
      </c>
    </row>
    <row r="57" spans="1:10" x14ac:dyDescent="0.25">
      <c r="A57" s="2" t="s">
        <v>86</v>
      </c>
      <c r="B57">
        <v>1</v>
      </c>
      <c r="C57" t="s">
        <v>58</v>
      </c>
      <c r="D57" t="s">
        <v>40</v>
      </c>
      <c r="E57" s="7">
        <v>4000000</v>
      </c>
      <c r="F57" s="10">
        <f t="shared" si="0"/>
        <v>4000000</v>
      </c>
      <c r="G57" t="s">
        <v>75</v>
      </c>
      <c r="H57">
        <v>12</v>
      </c>
      <c r="I57" t="s">
        <v>77</v>
      </c>
      <c r="J57" s="13">
        <f t="shared" si="1"/>
        <v>48000000</v>
      </c>
    </row>
    <row r="58" spans="1:10" x14ac:dyDescent="0.25">
      <c r="A58" s="2"/>
      <c r="E58" s="7"/>
      <c r="F58" s="10"/>
      <c r="J58" s="13"/>
    </row>
    <row r="59" spans="1:10" x14ac:dyDescent="0.25">
      <c r="A59" s="5" t="s">
        <v>72</v>
      </c>
      <c r="E59" s="8"/>
      <c r="F59" s="10"/>
      <c r="J59" s="13"/>
    </row>
    <row r="60" spans="1:10" x14ac:dyDescent="0.25">
      <c r="A60" t="s">
        <v>34</v>
      </c>
      <c r="B60">
        <v>1</v>
      </c>
      <c r="E60" s="9">
        <v>5475000</v>
      </c>
      <c r="F60" s="10">
        <f>E60*B60</f>
        <v>5475000</v>
      </c>
      <c r="G60" t="s">
        <v>75</v>
      </c>
      <c r="H60">
        <v>12</v>
      </c>
      <c r="I60" t="s">
        <v>137</v>
      </c>
      <c r="J60" s="13">
        <f t="shared" si="1"/>
        <v>65700000</v>
      </c>
    </row>
    <row r="61" spans="1:10" x14ac:dyDescent="0.25">
      <c r="A61" s="2" t="s">
        <v>138</v>
      </c>
      <c r="E61" s="9">
        <v>25000000</v>
      </c>
      <c r="F61" s="10">
        <f>+E61</f>
        <v>25000000</v>
      </c>
      <c r="G61" t="s">
        <v>75</v>
      </c>
      <c r="H61">
        <v>12</v>
      </c>
      <c r="I61" t="s">
        <v>137</v>
      </c>
      <c r="J61" s="13">
        <f t="shared" ref="J61" si="2">F61*H61</f>
        <v>300000000</v>
      </c>
    </row>
    <row r="62" spans="1:10" x14ac:dyDescent="0.25">
      <c r="A62" s="2" t="s">
        <v>139</v>
      </c>
      <c r="E62" s="9">
        <v>9500000</v>
      </c>
      <c r="F62" s="10">
        <f>+E62</f>
        <v>9500000</v>
      </c>
      <c r="G62" t="s">
        <v>75</v>
      </c>
      <c r="H62">
        <v>12</v>
      </c>
      <c r="I62" t="s">
        <v>137</v>
      </c>
      <c r="J62" s="13">
        <f t="shared" ref="J62:J63" si="3">F62*H62</f>
        <v>114000000</v>
      </c>
    </row>
    <row r="63" spans="1:10" x14ac:dyDescent="0.25">
      <c r="A63" s="2" t="s">
        <v>141</v>
      </c>
      <c r="E63" s="9">
        <f>+E61*0.1</f>
        <v>2500000</v>
      </c>
      <c r="F63" s="10">
        <f>+E63</f>
        <v>2500000</v>
      </c>
      <c r="G63" t="s">
        <v>75</v>
      </c>
      <c r="H63">
        <v>12</v>
      </c>
      <c r="I63" t="s">
        <v>137</v>
      </c>
      <c r="J63" s="13">
        <f t="shared" si="3"/>
        <v>30000000</v>
      </c>
    </row>
    <row r="64" spans="1:10" x14ac:dyDescent="0.25">
      <c r="A64" t="s">
        <v>36</v>
      </c>
      <c r="B64">
        <v>1</v>
      </c>
      <c r="E64" s="23">
        <v>5500000</v>
      </c>
      <c r="F64" s="10">
        <f t="shared" si="0"/>
        <v>5500000</v>
      </c>
      <c r="G64" t="s">
        <v>75</v>
      </c>
      <c r="H64">
        <v>2</v>
      </c>
      <c r="I64" t="s">
        <v>136</v>
      </c>
      <c r="J64" s="13">
        <f t="shared" si="1"/>
        <v>11000000</v>
      </c>
    </row>
    <row r="65" spans="1:10" x14ac:dyDescent="0.25">
      <c r="E65" s="9"/>
      <c r="F65" s="10"/>
      <c r="J65" s="13"/>
    </row>
    <row r="66" spans="1:10" x14ac:dyDescent="0.25">
      <c r="A66" s="5" t="s">
        <v>142</v>
      </c>
      <c r="E66" s="9"/>
      <c r="F66" s="10"/>
      <c r="J66" s="13"/>
    </row>
    <row r="67" spans="1:10" x14ac:dyDescent="0.25">
      <c r="A67" t="s">
        <v>143</v>
      </c>
      <c r="E67" s="9">
        <v>14500000</v>
      </c>
      <c r="F67" s="10">
        <f>+E67*1.5</f>
        <v>21750000</v>
      </c>
      <c r="G67" t="s">
        <v>75</v>
      </c>
      <c r="H67">
        <v>12</v>
      </c>
      <c r="I67" t="s">
        <v>137</v>
      </c>
      <c r="J67" s="13">
        <f t="shared" ref="J67" si="4">F67*H67</f>
        <v>261000000</v>
      </c>
    </row>
    <row r="68" spans="1:10" x14ac:dyDescent="0.25">
      <c r="E68" s="9"/>
      <c r="F68" s="10"/>
      <c r="J68" s="13"/>
    </row>
    <row r="69" spans="1:10" x14ac:dyDescent="0.25">
      <c r="E69" s="9"/>
      <c r="F69" s="10"/>
      <c r="J69" s="13"/>
    </row>
    <row r="70" spans="1:10" x14ac:dyDescent="0.25">
      <c r="E70" s="9"/>
      <c r="F70" s="10"/>
      <c r="J70" s="13"/>
    </row>
    <row r="71" spans="1:10" x14ac:dyDescent="0.25">
      <c r="A71" s="15" t="s">
        <v>37</v>
      </c>
      <c r="E71" s="8"/>
      <c r="F71" s="10"/>
      <c r="J71" s="13"/>
    </row>
    <row r="72" spans="1:10" x14ac:dyDescent="0.25">
      <c r="A72" t="s">
        <v>147</v>
      </c>
      <c r="E72" s="9"/>
      <c r="F72" s="10"/>
      <c r="J72" s="13"/>
    </row>
    <row r="73" spans="1:10" x14ac:dyDescent="0.25">
      <c r="A73" t="s">
        <v>148</v>
      </c>
      <c r="B73">
        <v>3</v>
      </c>
      <c r="E73" s="10">
        <f>50000000</f>
        <v>50000000</v>
      </c>
      <c r="F73" s="10">
        <f>50000000</f>
        <v>50000000</v>
      </c>
      <c r="G73" t="s">
        <v>74</v>
      </c>
      <c r="H73">
        <v>1</v>
      </c>
      <c r="I73" t="s">
        <v>49</v>
      </c>
      <c r="J73" s="13">
        <f t="shared" si="1"/>
        <v>50000000</v>
      </c>
    </row>
    <row r="74" spans="1:10" x14ac:dyDescent="0.25">
      <c r="E74" s="9"/>
      <c r="F74" s="10"/>
      <c r="J74" s="13"/>
    </row>
    <row r="75" spans="1:10" x14ac:dyDescent="0.25">
      <c r="A75" s="15" t="s">
        <v>44</v>
      </c>
      <c r="E75" s="8"/>
      <c r="F75" s="10"/>
      <c r="J75" s="13"/>
    </row>
    <row r="76" spans="1:10" x14ac:dyDescent="0.25">
      <c r="A76" t="s">
        <v>41</v>
      </c>
      <c r="B76">
        <v>160</v>
      </c>
      <c r="E76" s="9">
        <v>1980000</v>
      </c>
      <c r="F76" s="10">
        <f t="shared" si="0"/>
        <v>316800000</v>
      </c>
      <c r="G76" t="s">
        <v>76</v>
      </c>
      <c r="H76">
        <v>12</v>
      </c>
      <c r="I76" t="s">
        <v>77</v>
      </c>
      <c r="J76" s="13">
        <f t="shared" si="1"/>
        <v>3801600000</v>
      </c>
    </row>
    <row r="77" spans="1:10" x14ac:dyDescent="0.25">
      <c r="A77" t="s">
        <v>42</v>
      </c>
      <c r="B77">
        <v>160</v>
      </c>
      <c r="E77" s="9">
        <v>1650000</v>
      </c>
      <c r="F77" s="10">
        <f t="shared" si="0"/>
        <v>264000000</v>
      </c>
      <c r="G77" t="s">
        <v>76</v>
      </c>
      <c r="H77">
        <v>12</v>
      </c>
      <c r="I77" t="s">
        <v>77</v>
      </c>
      <c r="J77" s="13">
        <f t="shared" si="1"/>
        <v>3168000000</v>
      </c>
    </row>
    <row r="78" spans="1:10" x14ac:dyDescent="0.25">
      <c r="A78" t="s">
        <v>43</v>
      </c>
      <c r="B78">
        <v>180</v>
      </c>
      <c r="E78" s="9">
        <v>2920000</v>
      </c>
      <c r="F78" s="10">
        <f t="shared" si="0"/>
        <v>525600000</v>
      </c>
      <c r="G78" t="s">
        <v>76</v>
      </c>
      <c r="H78">
        <v>12</v>
      </c>
      <c r="I78" t="s">
        <v>77</v>
      </c>
      <c r="J78" s="13">
        <f t="shared" si="1"/>
        <v>6307200000</v>
      </c>
    </row>
    <row r="81" spans="1:10" x14ac:dyDescent="0.25">
      <c r="A81" s="15" t="s">
        <v>88</v>
      </c>
    </row>
    <row r="82" spans="1:10" x14ac:dyDescent="0.25">
      <c r="A82" t="s">
        <v>89</v>
      </c>
      <c r="B82">
        <v>160</v>
      </c>
      <c r="E82" s="9">
        <v>1650000</v>
      </c>
      <c r="F82" s="13">
        <f>E82*B82</f>
        <v>264000000</v>
      </c>
      <c r="G82" t="s">
        <v>74</v>
      </c>
      <c r="H82">
        <v>12</v>
      </c>
      <c r="I82" t="s">
        <v>77</v>
      </c>
      <c r="J82" s="13">
        <f>F82*H82</f>
        <v>3168000000</v>
      </c>
    </row>
    <row r="83" spans="1:10" x14ac:dyDescent="0.25">
      <c r="A83" t="s">
        <v>90</v>
      </c>
      <c r="B83">
        <v>160</v>
      </c>
      <c r="E83" s="9">
        <v>1475000</v>
      </c>
      <c r="F83" s="13">
        <f t="shared" ref="F83" si="5">E83*B83</f>
        <v>236000000</v>
      </c>
      <c r="G83" t="s">
        <v>74</v>
      </c>
      <c r="H83">
        <v>12</v>
      </c>
      <c r="I83" t="s">
        <v>77</v>
      </c>
      <c r="J83" s="13">
        <f t="shared" ref="J83:J84" si="6">F83*H83</f>
        <v>2832000000</v>
      </c>
    </row>
    <row r="84" spans="1:10" x14ac:dyDescent="0.25">
      <c r="A84" t="s">
        <v>91</v>
      </c>
      <c r="B84">
        <v>180</v>
      </c>
      <c r="E84" s="9">
        <v>2500000</v>
      </c>
      <c r="F84" s="13">
        <f>E84*B84</f>
        <v>450000000</v>
      </c>
      <c r="G84" t="s">
        <v>74</v>
      </c>
      <c r="H84">
        <v>12</v>
      </c>
      <c r="I84" t="s">
        <v>77</v>
      </c>
      <c r="J84" s="13">
        <f t="shared" si="6"/>
        <v>5400000000</v>
      </c>
    </row>
  </sheetData>
  <autoFilter ref="G1:G78" xr:uid="{F989DF54-1BE3-41D9-8680-224845B1D298}"/>
  <mergeCells count="1">
    <mergeCell ref="B8:C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F33B9-19F7-424C-A8B8-A79377488912}">
  <dimension ref="A1:N82"/>
  <sheetViews>
    <sheetView topLeftCell="A47" zoomScaleNormal="100" workbookViewId="0">
      <pane xSplit="1" topLeftCell="B1" activePane="topRight" state="frozen"/>
      <selection activeCell="A31" sqref="A31"/>
      <selection pane="topRight" activeCell="B36" sqref="B36"/>
    </sheetView>
  </sheetViews>
  <sheetFormatPr baseColWidth="10" defaultRowHeight="15" x14ac:dyDescent="0.25"/>
  <cols>
    <col min="1" max="1" width="38.5703125" bestFit="1" customWidth="1"/>
    <col min="2" max="2" width="28.5703125" bestFit="1" customWidth="1"/>
    <col min="3" max="12" width="20.42578125" bestFit="1" customWidth="1"/>
    <col min="13" max="13" width="20.28515625" bestFit="1" customWidth="1"/>
    <col min="14" max="14" width="16.42578125" bestFit="1" customWidth="1"/>
  </cols>
  <sheetData>
    <row r="1" spans="1:14" x14ac:dyDescent="0.25">
      <c r="B1" s="1"/>
    </row>
    <row r="2" spans="1:14" ht="30" x14ac:dyDescent="0.25">
      <c r="A2" s="38" t="s">
        <v>0</v>
      </c>
      <c r="B2" s="40" t="s">
        <v>52</v>
      </c>
      <c r="C2" s="41">
        <v>1</v>
      </c>
      <c r="D2" s="41">
        <v>2</v>
      </c>
      <c r="E2" s="41">
        <v>3</v>
      </c>
      <c r="F2" s="41">
        <v>4</v>
      </c>
      <c r="G2" s="41">
        <v>5</v>
      </c>
      <c r="H2" s="41">
        <v>6</v>
      </c>
      <c r="I2" s="41">
        <v>7</v>
      </c>
      <c r="J2" s="41">
        <v>8</v>
      </c>
      <c r="K2" s="41">
        <v>9</v>
      </c>
      <c r="L2" s="41">
        <v>10</v>
      </c>
      <c r="N2" s="42" t="s">
        <v>93</v>
      </c>
    </row>
    <row r="3" spans="1:14" x14ac:dyDescent="0.25">
      <c r="A3" s="3" t="s">
        <v>78</v>
      </c>
      <c r="B3" s="2"/>
      <c r="N3" s="13">
        <f t="shared" ref="N3:N34" si="0">B4/10</f>
        <v>10000000</v>
      </c>
    </row>
    <row r="4" spans="1:14" x14ac:dyDescent="0.25">
      <c r="A4" s="2" t="s">
        <v>16</v>
      </c>
      <c r="B4" s="13">
        <f>Datos!J10</f>
        <v>100000000</v>
      </c>
      <c r="N4" s="13">
        <f t="shared" si="0"/>
        <v>1000000</v>
      </c>
    </row>
    <row r="5" spans="1:14" ht="30" x14ac:dyDescent="0.25">
      <c r="A5" s="2" t="s">
        <v>4</v>
      </c>
      <c r="B5" s="13">
        <f>Datos!J11</f>
        <v>10000000</v>
      </c>
      <c r="N5" s="13">
        <f t="shared" si="0"/>
        <v>400000</v>
      </c>
    </row>
    <row r="6" spans="1:14" x14ac:dyDescent="0.25">
      <c r="A6" s="2" t="s">
        <v>46</v>
      </c>
      <c r="B6" s="13">
        <f>Datos!J12</f>
        <v>4000000</v>
      </c>
      <c r="N6" s="13">
        <f t="shared" si="0"/>
        <v>510000</v>
      </c>
    </row>
    <row r="7" spans="1:14" x14ac:dyDescent="0.25">
      <c r="A7" s="2" t="s">
        <v>45</v>
      </c>
      <c r="B7" s="13">
        <f>Datos!J13</f>
        <v>5100000</v>
      </c>
      <c r="N7" s="13">
        <f t="shared" si="0"/>
        <v>800000</v>
      </c>
    </row>
    <row r="8" spans="1:14" ht="30" x14ac:dyDescent="0.25">
      <c r="A8" s="2" t="s">
        <v>5</v>
      </c>
      <c r="B8" s="13">
        <f>Datos!J14</f>
        <v>8000000</v>
      </c>
      <c r="N8" s="13">
        <f t="shared" si="0"/>
        <v>150000</v>
      </c>
    </row>
    <row r="9" spans="1:14" ht="30" x14ac:dyDescent="0.25">
      <c r="A9" s="2" t="s">
        <v>59</v>
      </c>
      <c r="B9" s="13">
        <f>Datos!J15</f>
        <v>1500000</v>
      </c>
      <c r="N9" s="13">
        <f t="shared" si="0"/>
        <v>65000</v>
      </c>
    </row>
    <row r="10" spans="1:14" x14ac:dyDescent="0.25">
      <c r="A10" s="2" t="s">
        <v>25</v>
      </c>
      <c r="B10" s="13">
        <f>Datos!J16</f>
        <v>650000</v>
      </c>
      <c r="N10" s="13">
        <f t="shared" si="0"/>
        <v>280000</v>
      </c>
    </row>
    <row r="11" spans="1:14" x14ac:dyDescent="0.25">
      <c r="A11" s="2" t="s">
        <v>24</v>
      </c>
      <c r="B11" s="13">
        <f>Datos!J17</f>
        <v>2800000</v>
      </c>
      <c r="N11" s="13">
        <f t="shared" si="0"/>
        <v>400000</v>
      </c>
    </row>
    <row r="12" spans="1:14" ht="30" x14ac:dyDescent="0.25">
      <c r="A12" s="2" t="s">
        <v>7</v>
      </c>
      <c r="B12" s="13">
        <f>Datos!J19</f>
        <v>4000000</v>
      </c>
      <c r="N12" s="13">
        <f t="shared" si="0"/>
        <v>400000</v>
      </c>
    </row>
    <row r="13" spans="1:14" ht="30" x14ac:dyDescent="0.25">
      <c r="A13" s="2" t="s">
        <v>8</v>
      </c>
      <c r="B13" s="13">
        <f>Datos!J20</f>
        <v>4000000</v>
      </c>
      <c r="N13" s="13">
        <f t="shared" si="0"/>
        <v>20000</v>
      </c>
    </row>
    <row r="14" spans="1:14" x14ac:dyDescent="0.25">
      <c r="A14" s="2" t="s">
        <v>17</v>
      </c>
      <c r="B14" s="13">
        <f>Datos!J21</f>
        <v>200000</v>
      </c>
      <c r="N14" s="13">
        <f t="shared" si="0"/>
        <v>220000</v>
      </c>
    </row>
    <row r="15" spans="1:14" ht="30" x14ac:dyDescent="0.25">
      <c r="A15" s="2" t="s">
        <v>9</v>
      </c>
      <c r="B15" s="13">
        <f>Datos!J22</f>
        <v>2200000</v>
      </c>
      <c r="N15" s="13">
        <f t="shared" si="0"/>
        <v>400000</v>
      </c>
    </row>
    <row r="16" spans="1:14" ht="30" x14ac:dyDescent="0.25">
      <c r="A16" s="2" t="s">
        <v>11</v>
      </c>
      <c r="B16" s="13">
        <f>Datos!J24</f>
        <v>4000000</v>
      </c>
      <c r="N16" s="13">
        <f t="shared" si="0"/>
        <v>500000</v>
      </c>
    </row>
    <row r="17" spans="1:14" x14ac:dyDescent="0.25">
      <c r="A17" s="2" t="s">
        <v>12</v>
      </c>
      <c r="B17" s="13">
        <f>Datos!J25</f>
        <v>5000000</v>
      </c>
      <c r="N17" s="13">
        <f t="shared" si="0"/>
        <v>300000</v>
      </c>
    </row>
    <row r="18" spans="1:14" x14ac:dyDescent="0.25">
      <c r="A18" s="2" t="s">
        <v>23</v>
      </c>
      <c r="B18" s="13">
        <f>Datos!J26</f>
        <v>3000000</v>
      </c>
      <c r="N18" s="13">
        <f t="shared" si="0"/>
        <v>400000</v>
      </c>
    </row>
    <row r="19" spans="1:14" x14ac:dyDescent="0.25">
      <c r="A19" s="2" t="s">
        <v>22</v>
      </c>
      <c r="B19" s="13">
        <f>Datos!J27</f>
        <v>4000000</v>
      </c>
      <c r="N19" s="13">
        <f t="shared" si="0"/>
        <v>600000</v>
      </c>
    </row>
    <row r="20" spans="1:14" ht="30" x14ac:dyDescent="0.25">
      <c r="A20" s="2" t="s">
        <v>13</v>
      </c>
      <c r="B20" s="13">
        <f>Datos!J28</f>
        <v>6000000</v>
      </c>
      <c r="N20" s="13">
        <f t="shared" si="0"/>
        <v>30000</v>
      </c>
    </row>
    <row r="21" spans="1:14" x14ac:dyDescent="0.25">
      <c r="A21" s="2" t="s">
        <v>26</v>
      </c>
      <c r="B21" s="13">
        <f>Datos!J29</f>
        <v>300000</v>
      </c>
      <c r="N21" s="13">
        <f t="shared" si="0"/>
        <v>3000000</v>
      </c>
    </row>
    <row r="22" spans="1:14" x14ac:dyDescent="0.25">
      <c r="A22" s="2" t="s">
        <v>61</v>
      </c>
      <c r="B22" s="13">
        <f>Datos!J31</f>
        <v>30000000</v>
      </c>
      <c r="N22" s="13">
        <f t="shared" si="0"/>
        <v>8000000</v>
      </c>
    </row>
    <row r="23" spans="1:14" ht="30" x14ac:dyDescent="0.25">
      <c r="A23" s="2" t="s">
        <v>62</v>
      </c>
      <c r="B23" s="13">
        <f>Datos!J32</f>
        <v>80000000</v>
      </c>
      <c r="N23" s="13">
        <f t="shared" si="0"/>
        <v>90000</v>
      </c>
    </row>
    <row r="24" spans="1:14" x14ac:dyDescent="0.25">
      <c r="A24" s="2" t="s">
        <v>18</v>
      </c>
      <c r="B24" s="13">
        <f>Datos!J35</f>
        <v>900000</v>
      </c>
      <c r="N24" s="13">
        <f t="shared" si="0"/>
        <v>108000</v>
      </c>
    </row>
    <row r="25" spans="1:14" x14ac:dyDescent="0.25">
      <c r="A25" s="2" t="s">
        <v>19</v>
      </c>
      <c r="B25" s="13">
        <f>Datos!J36</f>
        <v>1080000</v>
      </c>
      <c r="N25" s="13">
        <f t="shared" si="0"/>
        <v>90000</v>
      </c>
    </row>
    <row r="26" spans="1:14" x14ac:dyDescent="0.25">
      <c r="A26" s="2" t="s">
        <v>27</v>
      </c>
      <c r="B26" s="13">
        <f>Datos!J37</f>
        <v>900000</v>
      </c>
      <c r="N26" s="13">
        <f t="shared" si="0"/>
        <v>8250000</v>
      </c>
    </row>
    <row r="27" spans="1:14" x14ac:dyDescent="0.25">
      <c r="A27" s="2" t="s">
        <v>21</v>
      </c>
      <c r="B27" s="13">
        <f>Datos!J40</f>
        <v>82500000</v>
      </c>
      <c r="N27" s="13">
        <f t="shared" si="0"/>
        <v>250000</v>
      </c>
    </row>
    <row r="28" spans="1:14" x14ac:dyDescent="0.25">
      <c r="A28" s="2" t="s">
        <v>20</v>
      </c>
      <c r="B28" s="13">
        <f>Datos!J41</f>
        <v>2500000</v>
      </c>
      <c r="N28" s="13">
        <f t="shared" si="0"/>
        <v>600000</v>
      </c>
    </row>
    <row r="29" spans="1:14" x14ac:dyDescent="0.25">
      <c r="A29" s="2" t="s">
        <v>28</v>
      </c>
      <c r="B29" s="13">
        <f>Datos!J44</f>
        <v>6000000</v>
      </c>
      <c r="N29" s="13">
        <f t="shared" si="0"/>
        <v>580000</v>
      </c>
    </row>
    <row r="30" spans="1:14" x14ac:dyDescent="0.25">
      <c r="A30" s="2" t="s">
        <v>29</v>
      </c>
      <c r="B30" s="13">
        <f>Datos!J45</f>
        <v>5800000</v>
      </c>
      <c r="N30" s="13">
        <f t="shared" si="0"/>
        <v>700000</v>
      </c>
    </row>
    <row r="31" spans="1:14" x14ac:dyDescent="0.25">
      <c r="A31" s="2" t="s">
        <v>30</v>
      </c>
      <c r="B31" s="13">
        <f>Datos!J46</f>
        <v>7000000</v>
      </c>
      <c r="N31" s="13">
        <f t="shared" si="0"/>
        <v>413000</v>
      </c>
    </row>
    <row r="32" spans="1:14" x14ac:dyDescent="0.25">
      <c r="A32" s="2" t="s">
        <v>31</v>
      </c>
      <c r="B32" s="13">
        <f>Datos!J47</f>
        <v>4130000</v>
      </c>
      <c r="N32" s="13">
        <f t="shared" si="0"/>
        <v>3000000</v>
      </c>
    </row>
    <row r="33" spans="1:14" x14ac:dyDescent="0.25">
      <c r="A33" s="2" t="s">
        <v>32</v>
      </c>
      <c r="B33" s="13">
        <f>Datos!J48</f>
        <v>30000000</v>
      </c>
      <c r="N33" s="13">
        <f t="shared" si="0"/>
        <v>120000</v>
      </c>
    </row>
    <row r="34" spans="1:14" x14ac:dyDescent="0.25">
      <c r="A34" s="2" t="s">
        <v>33</v>
      </c>
      <c r="B34" s="13">
        <f>Datos!J49</f>
        <v>1200000</v>
      </c>
      <c r="N34" s="13">
        <f t="shared" si="0"/>
        <v>7400000</v>
      </c>
    </row>
    <row r="35" spans="1:14" x14ac:dyDescent="0.25">
      <c r="A35" t="s">
        <v>60</v>
      </c>
      <c r="B35" s="13">
        <f>Datos!$J$73*1.48</f>
        <v>74000000</v>
      </c>
      <c r="N35" s="13"/>
    </row>
    <row r="36" spans="1:14" x14ac:dyDescent="0.25">
      <c r="A36" s="3" t="s">
        <v>106</v>
      </c>
      <c r="B36" s="17">
        <f>+SUM(B4:B35)</f>
        <v>490760000</v>
      </c>
      <c r="N36" s="13"/>
    </row>
    <row r="37" spans="1:14" x14ac:dyDescent="0.25">
      <c r="B37" s="13"/>
      <c r="N37" s="13"/>
    </row>
    <row r="38" spans="1:14" x14ac:dyDescent="0.25">
      <c r="B38" s="13"/>
      <c r="N38" s="13"/>
    </row>
    <row r="39" spans="1:14" x14ac:dyDescent="0.25">
      <c r="B39" s="13"/>
      <c r="N39" s="13"/>
    </row>
    <row r="40" spans="1:14" x14ac:dyDescent="0.25">
      <c r="A40" t="s">
        <v>89</v>
      </c>
      <c r="C40" s="13">
        <f>Datos!J82</f>
        <v>3168000000</v>
      </c>
      <c r="D40" s="13">
        <f>C40*(1+Datos!$B$3)</f>
        <v>3278879999.9999995</v>
      </c>
      <c r="E40" s="13">
        <f>D40*(1+Datos!$B$3)</f>
        <v>3393640799.999999</v>
      </c>
      <c r="F40" s="13">
        <f>E40*(1+Datos!$B$3)</f>
        <v>3512418227.9999986</v>
      </c>
      <c r="G40" s="13">
        <f>F40*(1+Datos!$B$3)</f>
        <v>3635352865.9799981</v>
      </c>
      <c r="H40" s="13">
        <f>G40*(1+Datos!$B$3)</f>
        <v>3762590216.2892976</v>
      </c>
      <c r="I40" s="13">
        <f>H40*(1+Datos!$B$3)</f>
        <v>3894280873.8594227</v>
      </c>
      <c r="J40" s="13">
        <f>I40*(1+Datos!$B$3)</f>
        <v>4030580704.4445024</v>
      </c>
      <c r="K40" s="13">
        <f>J40*(1+Datos!$B$3)</f>
        <v>4171651029.1000595</v>
      </c>
      <c r="L40" s="13">
        <f>K40*(1+Datos!$B$3)</f>
        <v>4317658815.1185608</v>
      </c>
      <c r="N40" s="13"/>
    </row>
    <row r="41" spans="1:14" x14ac:dyDescent="0.25">
      <c r="A41" t="s">
        <v>90</v>
      </c>
      <c r="C41" s="13">
        <f>Datos!J83</f>
        <v>2832000000</v>
      </c>
      <c r="D41" s="13">
        <f>C41*(1+Datos!$B$3)</f>
        <v>2931120000</v>
      </c>
      <c r="E41" s="13">
        <f>D41*(1+Datos!$B$3)</f>
        <v>3033709200</v>
      </c>
      <c r="F41" s="13">
        <f>E41*(1+Datos!$B$3)</f>
        <v>3139889021.9999995</v>
      </c>
      <c r="G41" s="13">
        <f>F41*(1+Datos!$B$3)</f>
        <v>3249785137.769999</v>
      </c>
      <c r="H41" s="13">
        <f>G41*(1+Datos!$B$3)</f>
        <v>3363527617.5919485</v>
      </c>
      <c r="I41" s="13">
        <f>H41*(1+Datos!$B$3)</f>
        <v>3481251084.2076664</v>
      </c>
      <c r="J41" s="13">
        <f>I41*(1+Datos!$B$3)</f>
        <v>3603094872.1549344</v>
      </c>
      <c r="K41" s="13">
        <f>J41*(1+Datos!$B$3)</f>
        <v>3729203192.680357</v>
      </c>
      <c r="L41" s="13">
        <f>K41*(1+Datos!$B$3)</f>
        <v>3859725304.4241691</v>
      </c>
      <c r="N41" s="13"/>
    </row>
    <row r="42" spans="1:14" x14ac:dyDescent="0.25">
      <c r="A42" t="s">
        <v>91</v>
      </c>
      <c r="C42" s="13">
        <f>Datos!J84</f>
        <v>5400000000</v>
      </c>
      <c r="D42" s="13">
        <f>C42*(1+Datos!$B$3)</f>
        <v>5589000000</v>
      </c>
      <c r="E42" s="13">
        <f>D42*(1+Datos!$B$3)</f>
        <v>5784615000</v>
      </c>
      <c r="F42" s="13">
        <f>E42*(1+Datos!$B$3)</f>
        <v>5987076525</v>
      </c>
      <c r="G42" s="13">
        <f>F42*(1+Datos!$B$3)</f>
        <v>6196624203.374999</v>
      </c>
      <c r="H42" s="13">
        <f>G42*(1+Datos!$B$3)</f>
        <v>6413506050.4931231</v>
      </c>
      <c r="I42" s="13">
        <f>H42*(1+Datos!$B$3)</f>
        <v>6637978762.2603817</v>
      </c>
      <c r="J42" s="13">
        <f>I42*(1+Datos!$B$3)</f>
        <v>6870308018.9394941</v>
      </c>
      <c r="K42" s="13">
        <f>J42*(1+Datos!$B$3)</f>
        <v>7110768799.602376</v>
      </c>
      <c r="L42" s="13">
        <f>K42*(1+Datos!$B$3)</f>
        <v>7359645707.588459</v>
      </c>
      <c r="N42" s="13"/>
    </row>
    <row r="43" spans="1:14" x14ac:dyDescent="0.25">
      <c r="A43" s="2" t="s">
        <v>82</v>
      </c>
      <c r="B43" s="3"/>
      <c r="C43" s="13">
        <f>Datos!J53*1.48</f>
        <v>227328000</v>
      </c>
      <c r="D43" s="13">
        <f>C43*(1+Datos!$B$3)</f>
        <v>235284479.99999997</v>
      </c>
      <c r="E43" s="13">
        <f>D43*(1+Datos!$B$3)</f>
        <v>243519436.79999995</v>
      </c>
      <c r="F43" s="13">
        <f>E43*(1+Datos!$B$3)</f>
        <v>252042617.08799994</v>
      </c>
      <c r="G43" s="13">
        <f>F43*(1+Datos!$B$3)</f>
        <v>260864108.68607992</v>
      </c>
      <c r="H43" s="13">
        <f>G43*(1+Datos!$B$3)</f>
        <v>269994352.49009269</v>
      </c>
      <c r="I43" s="13">
        <f>H43*(1+Datos!$B$3)</f>
        <v>279444154.82724589</v>
      </c>
      <c r="J43" s="13">
        <f>I43*(1+Datos!$B$3)</f>
        <v>289224700.24619949</v>
      </c>
      <c r="K43" s="13">
        <f>J43*(1+Datos!$B$3)</f>
        <v>299347564.75481647</v>
      </c>
      <c r="L43" s="13">
        <f>K43*(1+Datos!$B$3)</f>
        <v>309824729.52123505</v>
      </c>
      <c r="M43" s="13"/>
    </row>
    <row r="44" spans="1:14" x14ac:dyDescent="0.25">
      <c r="A44" s="2" t="s">
        <v>84</v>
      </c>
      <c r="B44" s="2"/>
      <c r="C44" s="13">
        <f>Datos!J55*1.48</f>
        <v>71040000</v>
      </c>
      <c r="D44" s="13">
        <f>C44*(1+Datos!$B$3)</f>
        <v>73526400</v>
      </c>
      <c r="E44" s="13">
        <f>D44*(1+Datos!$B$3)</f>
        <v>76099824</v>
      </c>
      <c r="F44" s="13">
        <f>E44*(1+Datos!$B$3)</f>
        <v>78763317.839999989</v>
      </c>
      <c r="G44" s="13">
        <f>F44*(1+Datos!$B$3)</f>
        <v>81520033.964399979</v>
      </c>
      <c r="H44" s="13">
        <f>G44*(1+Datos!$B$3)</f>
        <v>84373235.153153971</v>
      </c>
      <c r="I44" s="13">
        <f>H44*(1+Datos!$B$3)</f>
        <v>87326298.38351436</v>
      </c>
      <c r="J44" s="13">
        <f>I44*(1+Datos!$B$3)</f>
        <v>90382718.826937363</v>
      </c>
      <c r="K44" s="13">
        <f>J44*(1+Datos!$B$3)</f>
        <v>93546113.985880166</v>
      </c>
      <c r="L44" s="13">
        <f>K44*(1+Datos!$B$3)</f>
        <v>96820227.975385964</v>
      </c>
      <c r="M44" s="13"/>
    </row>
    <row r="45" spans="1:14" x14ac:dyDescent="0.25">
      <c r="A45" s="2" t="s">
        <v>86</v>
      </c>
      <c r="B45" s="2"/>
      <c r="C45" s="13">
        <f>Datos!J57*1.48</f>
        <v>71040000</v>
      </c>
      <c r="D45" s="13">
        <f>C45*(1+Datos!$B$3)</f>
        <v>73526400</v>
      </c>
      <c r="E45" s="13">
        <f>D45*(1+Datos!$B$3)</f>
        <v>76099824</v>
      </c>
      <c r="F45" s="13">
        <f>E45*(1+Datos!$B$3)</f>
        <v>78763317.839999989</v>
      </c>
      <c r="G45" s="13">
        <f>F45*(1+Datos!$B$3)</f>
        <v>81520033.964399979</v>
      </c>
      <c r="H45" s="13">
        <f>G45*(1+Datos!$B$3)</f>
        <v>84373235.153153971</v>
      </c>
      <c r="I45" s="13">
        <f>H45*(1+Datos!$B$3)</f>
        <v>87326298.38351436</v>
      </c>
      <c r="J45" s="13">
        <f>I45*(1+Datos!$B$3)</f>
        <v>90382718.826937363</v>
      </c>
      <c r="K45" s="13">
        <f>J45*(1+Datos!$B$3)</f>
        <v>93546113.985880166</v>
      </c>
      <c r="L45" s="13">
        <f>K45*(1+Datos!$B$3)</f>
        <v>96820227.975385964</v>
      </c>
      <c r="M45" s="13"/>
    </row>
    <row r="46" spans="1:14" x14ac:dyDescent="0.25">
      <c r="A46" s="3" t="s">
        <v>73</v>
      </c>
      <c r="B46" s="14">
        <f t="shared" ref="B46" si="1">+SUM(B40:B45)</f>
        <v>0</v>
      </c>
      <c r="C46" s="14">
        <f>+SUM(C40:C45)</f>
        <v>11769408000</v>
      </c>
      <c r="D46" s="14">
        <f t="shared" ref="D46:L46" si="2">+SUM(D40:D45)</f>
        <v>12181337280</v>
      </c>
      <c r="E46" s="14">
        <f t="shared" si="2"/>
        <v>12607684084.799999</v>
      </c>
      <c r="F46" s="14">
        <f t="shared" si="2"/>
        <v>13048953027.767998</v>
      </c>
      <c r="G46" s="14">
        <f t="shared" si="2"/>
        <v>13505666383.739874</v>
      </c>
      <c r="H46" s="14">
        <f t="shared" si="2"/>
        <v>13978364707.170773</v>
      </c>
      <c r="I46" s="14">
        <f t="shared" si="2"/>
        <v>14467607471.921745</v>
      </c>
      <c r="J46" s="14">
        <f t="shared" si="2"/>
        <v>14973973733.439003</v>
      </c>
      <c r="K46" s="14">
        <f t="shared" si="2"/>
        <v>15498062814.109369</v>
      </c>
      <c r="L46" s="14">
        <f t="shared" si="2"/>
        <v>16040495012.603195</v>
      </c>
    </row>
    <row r="47" spans="1:14" x14ac:dyDescent="0.25">
      <c r="A47" s="2"/>
      <c r="B47" s="2"/>
    </row>
    <row r="48" spans="1:14" x14ac:dyDescent="0.25">
      <c r="A48" s="3" t="s">
        <v>81</v>
      </c>
      <c r="B48" s="2"/>
    </row>
    <row r="49" spans="1:13" x14ac:dyDescent="0.25">
      <c r="A49" s="2" t="s">
        <v>83</v>
      </c>
      <c r="B49" s="2"/>
      <c r="C49" s="13">
        <f>Datos!J54*1.48</f>
        <v>113664000</v>
      </c>
      <c r="D49" s="13">
        <f>C49*(1+Datos!$B$3)</f>
        <v>117642239.99999999</v>
      </c>
      <c r="E49" s="13">
        <f>D49*(1+Datos!$B$3)</f>
        <v>121759718.39999998</v>
      </c>
      <c r="F49" s="13">
        <f>E49*(1+Datos!$B$3)</f>
        <v>126021308.54399997</v>
      </c>
      <c r="G49" s="13">
        <f>F49*(1+Datos!$B$3)</f>
        <v>130432054.34303996</v>
      </c>
      <c r="H49" s="13">
        <f>G49*(1+Datos!$B$3)</f>
        <v>134997176.24504635</v>
      </c>
      <c r="I49" s="13">
        <f>H49*(1+Datos!$B$3)</f>
        <v>139722077.41362295</v>
      </c>
      <c r="J49" s="13">
        <f>I49*(1+Datos!$B$3)</f>
        <v>144612350.12309974</v>
      </c>
      <c r="K49" s="13">
        <f>J49*(1+Datos!$B$3)</f>
        <v>149673782.37740824</v>
      </c>
      <c r="L49" s="13">
        <f>K49*(1+Datos!$B$3)</f>
        <v>154912364.76061752</v>
      </c>
      <c r="M49" s="13"/>
    </row>
    <row r="50" spans="1:13" x14ac:dyDescent="0.25">
      <c r="A50" s="2" t="s">
        <v>85</v>
      </c>
      <c r="B50" s="2"/>
      <c r="C50" s="13">
        <f>Datos!J56*1.48</f>
        <v>31968000</v>
      </c>
      <c r="D50" s="13">
        <f>C50*(1+Datos!$B$3)</f>
        <v>33086879.999999996</v>
      </c>
      <c r="E50" s="13">
        <f>D50*(1+Datos!$B$3)</f>
        <v>34244920.799999997</v>
      </c>
      <c r="F50" s="13">
        <f>E50*(1+Datos!$B$3)</f>
        <v>35443493.027999997</v>
      </c>
      <c r="G50" s="13">
        <f>F50*(1+Datos!$B$3)</f>
        <v>36684015.283979997</v>
      </c>
      <c r="H50" s="13">
        <f>G50*(1+Datos!$B$3)</f>
        <v>37967955.818919294</v>
      </c>
      <c r="I50" s="13">
        <f>H50*(1+Datos!$B$3)</f>
        <v>39296834.272581466</v>
      </c>
      <c r="J50" s="13">
        <f>I50*(1+Datos!$B$3)</f>
        <v>40672223.472121812</v>
      </c>
      <c r="K50" s="13">
        <f>J50*(1+Datos!$B$3)</f>
        <v>42095751.293646075</v>
      </c>
      <c r="L50" s="13">
        <f>K50*(1+Datos!$B$3)</f>
        <v>43569102.588923685</v>
      </c>
      <c r="M50" s="13"/>
    </row>
    <row r="51" spans="1:13" x14ac:dyDescent="0.25">
      <c r="A51" s="2" t="s">
        <v>144</v>
      </c>
      <c r="B51" s="2"/>
      <c r="C51" s="13">
        <f>+Datos!J67</f>
        <v>261000000</v>
      </c>
      <c r="D51" s="13">
        <f>C51*(1+Datos!$B$3)</f>
        <v>270135000</v>
      </c>
      <c r="E51" s="13">
        <f>D51*(1+Datos!$B$3)</f>
        <v>279589725</v>
      </c>
      <c r="F51" s="13">
        <f>E51*(1+Datos!$B$3)</f>
        <v>289375365.375</v>
      </c>
      <c r="G51" s="13">
        <f>F51*(1+Datos!$B$3)</f>
        <v>299503503.16312498</v>
      </c>
      <c r="H51" s="13">
        <f>G51*(1+Datos!$B$3)</f>
        <v>309986125.77383435</v>
      </c>
      <c r="I51" s="13">
        <f>H51*(1+Datos!$B$3)</f>
        <v>320835640.17591852</v>
      </c>
      <c r="J51" s="13">
        <f>I51*(1+Datos!$B$3)</f>
        <v>332064887.58207566</v>
      </c>
      <c r="K51" s="13">
        <f>J51*(1+Datos!$B$3)</f>
        <v>343687158.6474483</v>
      </c>
      <c r="L51" s="13">
        <f>K51*(1+Datos!$B$3)</f>
        <v>355716209.20010895</v>
      </c>
      <c r="M51" s="13"/>
    </row>
    <row r="52" spans="1:13" x14ac:dyDescent="0.25">
      <c r="A52" t="s">
        <v>34</v>
      </c>
      <c r="B52" s="2"/>
      <c r="C52" s="13">
        <f>Datos!$J$60</f>
        <v>65700000</v>
      </c>
      <c r="D52" s="13">
        <f>C52*(1+Datos!$B$3)</f>
        <v>67999500</v>
      </c>
      <c r="E52" s="13">
        <f>D52*(1+Datos!$B$3)</f>
        <v>70379482.5</v>
      </c>
      <c r="F52" s="13">
        <f>E52*(1+Datos!$B$3)</f>
        <v>72842764.387499988</v>
      </c>
      <c r="G52" s="13">
        <f>F52*(1+Datos!$B$3)</f>
        <v>75392261.141062483</v>
      </c>
      <c r="H52" s="13">
        <f>G52*(1+Datos!$B$3)</f>
        <v>78030990.28099966</v>
      </c>
      <c r="I52" s="13">
        <f>H52*(1+Datos!$B$3)</f>
        <v>80762074.940834641</v>
      </c>
      <c r="J52" s="13">
        <f>I52*(1+Datos!$B$3)</f>
        <v>83588747.563763842</v>
      </c>
      <c r="K52" s="13">
        <f>J52*(1+Datos!$B$3)</f>
        <v>86514353.728495568</v>
      </c>
      <c r="L52" s="13">
        <f>K52*(1+Datos!$B$3)</f>
        <v>89542356.108992904</v>
      </c>
      <c r="M52" s="13"/>
    </row>
    <row r="53" spans="1:13" x14ac:dyDescent="0.25">
      <c r="A53" s="2" t="s">
        <v>138</v>
      </c>
      <c r="B53" s="2"/>
      <c r="C53" s="13">
        <f>+Datos!J61</f>
        <v>300000000</v>
      </c>
      <c r="D53" s="13">
        <f>C53*(1+Datos!$B$3)</f>
        <v>310500000</v>
      </c>
      <c r="E53" s="13">
        <f>D53*(1+Datos!$B$3)</f>
        <v>321367500</v>
      </c>
      <c r="F53" s="13">
        <f>E53*(1+Datos!$B$3)</f>
        <v>332615362.5</v>
      </c>
      <c r="G53" s="13">
        <f>F53*(1+Datos!$B$3)</f>
        <v>344256900.1875</v>
      </c>
      <c r="H53" s="13">
        <f>G53*(1+Datos!$B$3)</f>
        <v>356305891.69406247</v>
      </c>
      <c r="I53" s="13">
        <f>H53*(1+Datos!$B$3)</f>
        <v>368776597.90335464</v>
      </c>
      <c r="J53" s="13">
        <f>I53*(1+Datos!$B$3)</f>
        <v>381683778.82997203</v>
      </c>
      <c r="K53" s="13">
        <f>J53*(1+Datos!$B$3)</f>
        <v>395042711.08902103</v>
      </c>
      <c r="L53" s="13">
        <f>K53*(1+Datos!$B$3)</f>
        <v>408869205.97713673</v>
      </c>
      <c r="M53" s="13"/>
    </row>
    <row r="54" spans="1:13" x14ac:dyDescent="0.25">
      <c r="A54" s="2" t="s">
        <v>140</v>
      </c>
      <c r="B54" s="2"/>
      <c r="C54" s="13">
        <f>+Datos!J62</f>
        <v>114000000</v>
      </c>
      <c r="D54" s="13">
        <f>C54*(1+Datos!$B$3)</f>
        <v>117989999.99999999</v>
      </c>
      <c r="E54" s="13">
        <f>D54*(1+Datos!$B$3)</f>
        <v>122119649.99999997</v>
      </c>
      <c r="F54" s="13">
        <f>E54*(1+Datos!$B$3)</f>
        <v>126393837.74999996</v>
      </c>
      <c r="G54" s="13">
        <f>F54*(1+Datos!$B$3)</f>
        <v>130817622.07124995</v>
      </c>
      <c r="H54" s="13">
        <f>G54*(1+Datos!$B$3)</f>
        <v>135396238.84374368</v>
      </c>
      <c r="I54" s="13">
        <f>H54*(1+Datos!$B$3)</f>
        <v>140135107.2032747</v>
      </c>
      <c r="J54" s="13">
        <f>I54*(1+Datos!$B$3)</f>
        <v>145039835.95538929</v>
      </c>
      <c r="K54" s="13">
        <f>J54*(1+Datos!$B$3)</f>
        <v>150116230.21382791</v>
      </c>
      <c r="L54" s="13">
        <f>K54*(1+Datos!$B$3)</f>
        <v>155370298.27131188</v>
      </c>
      <c r="M54" s="13"/>
    </row>
    <row r="55" spans="1:13" x14ac:dyDescent="0.25">
      <c r="A55" s="2" t="s">
        <v>141</v>
      </c>
      <c r="B55" s="2"/>
      <c r="C55" s="13">
        <f>+Datos!E63</f>
        <v>2500000</v>
      </c>
      <c r="D55" s="13">
        <f>C55*(1+Datos!$B$3)</f>
        <v>2587500</v>
      </c>
      <c r="E55" s="13">
        <f>D55*(1+Datos!$B$3)</f>
        <v>2678062.5</v>
      </c>
      <c r="F55" s="13">
        <f>E55*(1+Datos!$B$3)</f>
        <v>2771794.6875</v>
      </c>
      <c r="G55" s="13">
        <f>F55*(1+Datos!$B$3)</f>
        <v>2868807.5015624999</v>
      </c>
      <c r="H55" s="13">
        <f>G55*(1+Datos!$B$3)</f>
        <v>2969215.7641171874</v>
      </c>
      <c r="I55" s="13">
        <f>H55*(1+Datos!$B$3)</f>
        <v>3073138.3158612885</v>
      </c>
      <c r="J55" s="13">
        <f>I55*(1+Datos!$B$3)</f>
        <v>3180698.1569164335</v>
      </c>
      <c r="K55" s="13">
        <f>J55*(1+Datos!$B$3)</f>
        <v>3292022.5924085085</v>
      </c>
      <c r="L55" s="13">
        <f>K55*(1+Datos!$B$3)</f>
        <v>3407243.3831428061</v>
      </c>
      <c r="M55" s="13"/>
    </row>
    <row r="56" spans="1:13" x14ac:dyDescent="0.25">
      <c r="A56" t="s">
        <v>36</v>
      </c>
      <c r="B56" s="2"/>
      <c r="C56" s="13">
        <f>Datos!$J$64</f>
        <v>11000000</v>
      </c>
      <c r="D56" s="13">
        <f>C56*(1+Datos!$B$3)</f>
        <v>11385000</v>
      </c>
      <c r="E56" s="13">
        <f>D56*(1+Datos!$B$3)</f>
        <v>11783475</v>
      </c>
      <c r="F56" s="13">
        <f>E56*(1+Datos!$B$3)</f>
        <v>12195896.624999998</v>
      </c>
      <c r="G56" s="13">
        <f>F56*(1+Datos!$B$3)</f>
        <v>12622753.006874997</v>
      </c>
      <c r="H56" s="13">
        <f>G56*(1+Datos!$B$3)</f>
        <v>13064549.362115622</v>
      </c>
      <c r="I56" s="13">
        <f>H56*(1+Datos!$B$3)</f>
        <v>13521808.589789668</v>
      </c>
      <c r="J56" s="13">
        <f>I56*(1+Datos!$B$3)</f>
        <v>13995071.890432306</v>
      </c>
      <c r="K56" s="13">
        <f>J56*(1+Datos!$B$3)</f>
        <v>14484899.406597435</v>
      </c>
      <c r="L56" s="13">
        <f>K56*(1+Datos!$B$3)</f>
        <v>14991870.885828344</v>
      </c>
      <c r="M56" s="13"/>
    </row>
    <row r="57" spans="1:13" x14ac:dyDescent="0.25">
      <c r="A57" s="3" t="s">
        <v>73</v>
      </c>
      <c r="B57" s="16">
        <f>+SUM(B49:B56)</f>
        <v>0</v>
      </c>
      <c r="C57" s="16">
        <f>+SUM(C49:C56)</f>
        <v>899832000</v>
      </c>
      <c r="D57" s="16">
        <f t="shared" ref="D57:L57" si="3">+SUM(D49:D56)</f>
        <v>931326120</v>
      </c>
      <c r="E57" s="16">
        <f t="shared" si="3"/>
        <v>963922534.20000005</v>
      </c>
      <c r="F57" s="16">
        <f t="shared" si="3"/>
        <v>997659822.89699996</v>
      </c>
      <c r="G57" s="16">
        <f t="shared" si="3"/>
        <v>1032577916.6983949</v>
      </c>
      <c r="H57" s="16">
        <f t="shared" si="3"/>
        <v>1068718143.7828387</v>
      </c>
      <c r="I57" s="16">
        <f t="shared" si="3"/>
        <v>1106123278.8152378</v>
      </c>
      <c r="J57" s="16">
        <f t="shared" si="3"/>
        <v>1144837593.5737712</v>
      </c>
      <c r="K57" s="16">
        <f t="shared" si="3"/>
        <v>1184906909.3488529</v>
      </c>
      <c r="L57" s="16">
        <f t="shared" si="3"/>
        <v>1226378651.1760626</v>
      </c>
      <c r="M57" s="13"/>
    </row>
    <row r="58" spans="1:13" x14ac:dyDescent="0.25">
      <c r="A58" s="3"/>
      <c r="B58" s="2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</row>
    <row r="59" spans="1:13" x14ac:dyDescent="0.25">
      <c r="A59" s="3" t="s">
        <v>87</v>
      </c>
    </row>
    <row r="60" spans="1:13" x14ac:dyDescent="0.25">
      <c r="A60" t="s">
        <v>41</v>
      </c>
      <c r="B60" s="5"/>
      <c r="C60" s="13">
        <f>Datos!J76</f>
        <v>3801600000</v>
      </c>
      <c r="D60" s="13">
        <f>C60*(1+Datos!$B$2)</f>
        <v>3953664000</v>
      </c>
      <c r="E60" s="13">
        <f>D60*(1+Datos!$B$2)</f>
        <v>4111810560</v>
      </c>
      <c r="F60" s="13">
        <f>E60*(1+Datos!$B$2)</f>
        <v>4276282982.4000001</v>
      </c>
      <c r="G60" s="13">
        <f>F60*(1+Datos!$B$2)</f>
        <v>4447334301.6960001</v>
      </c>
      <c r="H60" s="13">
        <f>G60*(1+Datos!$B$2)</f>
        <v>4625227673.7638407</v>
      </c>
      <c r="I60" s="13">
        <f>H60*(1+Datos!$B$2)</f>
        <v>4810236780.7143946</v>
      </c>
      <c r="J60" s="13">
        <f>I60*(1+Datos!$B$2)</f>
        <v>5002646251.9429703</v>
      </c>
      <c r="K60" s="13">
        <f>J60*(1+Datos!$B$2)</f>
        <v>5202752102.020689</v>
      </c>
      <c r="L60" s="13">
        <f>K60*(1+Datos!$B$2)</f>
        <v>5410862186.1015167</v>
      </c>
      <c r="M60" s="13"/>
    </row>
    <row r="61" spans="1:13" x14ac:dyDescent="0.25">
      <c r="A61" t="s">
        <v>42</v>
      </c>
      <c r="B61" s="2"/>
      <c r="C61" s="13">
        <f>Datos!J77</f>
        <v>3168000000</v>
      </c>
      <c r="D61" s="13">
        <f>C61*(1+Datos!$B$2)</f>
        <v>3294720000</v>
      </c>
      <c r="E61" s="13">
        <f>D61*(1+Datos!$B$2)</f>
        <v>3426508800</v>
      </c>
      <c r="F61" s="13">
        <f>E61*(1+Datos!$B$2)</f>
        <v>3563569152</v>
      </c>
      <c r="G61" s="13">
        <f>F61*(1+Datos!$B$2)</f>
        <v>3706111918.0799999</v>
      </c>
      <c r="H61" s="13">
        <f>G61*(1+Datos!$B$2)</f>
        <v>3854356394.8032002</v>
      </c>
      <c r="I61" s="13">
        <f>H61*(1+Datos!$B$2)</f>
        <v>4008530650.5953283</v>
      </c>
      <c r="J61" s="13">
        <f>I61*(1+Datos!$B$2)</f>
        <v>4168871876.6191416</v>
      </c>
      <c r="K61" s="13">
        <f>J61*(1+Datos!$B$2)</f>
        <v>4335626751.6839075</v>
      </c>
      <c r="L61" s="13">
        <f>K61*(1+Datos!$B$2)</f>
        <v>4509051821.7512636</v>
      </c>
      <c r="M61" s="13"/>
    </row>
    <row r="62" spans="1:13" x14ac:dyDescent="0.25">
      <c r="A62" t="s">
        <v>43</v>
      </c>
      <c r="B62" s="2"/>
      <c r="C62" s="13">
        <f>Datos!J78</f>
        <v>6307200000</v>
      </c>
      <c r="D62" s="13">
        <f>C62*(1+Datos!$B$2)</f>
        <v>6559488000</v>
      </c>
      <c r="E62" s="13">
        <f>D62*(1+Datos!$B$2)</f>
        <v>6821867520</v>
      </c>
      <c r="F62" s="13">
        <f>E62*(1+Datos!$B$2)</f>
        <v>7094742220.8000002</v>
      </c>
      <c r="G62" s="13">
        <f>F62*(1+Datos!$B$2)</f>
        <v>7378531909.6320009</v>
      </c>
      <c r="H62" s="13">
        <f>G62*(1+Datos!$B$2)</f>
        <v>7673673186.0172815</v>
      </c>
      <c r="I62" s="13">
        <f>H62*(1+Datos!$B$2)</f>
        <v>7980620113.4579735</v>
      </c>
      <c r="J62" s="13">
        <f>I62*(1+Datos!$B$2)</f>
        <v>8299844917.9962931</v>
      </c>
      <c r="K62" s="13">
        <f>J62*(1+Datos!$B$2)</f>
        <v>8631838714.7161446</v>
      </c>
      <c r="L62" s="13">
        <f>K62*(1+Datos!$B$2)</f>
        <v>8977112263.3047905</v>
      </c>
      <c r="M62" s="13"/>
    </row>
    <row r="63" spans="1:13" x14ac:dyDescent="0.25">
      <c r="A63" s="5" t="s">
        <v>73</v>
      </c>
      <c r="B63" s="2"/>
      <c r="C63" s="13">
        <f>SUM(C60:C62)</f>
        <v>13276800000</v>
      </c>
      <c r="D63" s="13">
        <f t="shared" ref="D63:L63" si="4">SUM(D60:D62)</f>
        <v>13807872000</v>
      </c>
      <c r="E63" s="13">
        <f t="shared" si="4"/>
        <v>14360186880</v>
      </c>
      <c r="F63" s="13">
        <f t="shared" si="4"/>
        <v>14934594355.200001</v>
      </c>
      <c r="G63" s="13">
        <f t="shared" si="4"/>
        <v>15531978129.408001</v>
      </c>
      <c r="H63" s="13">
        <f t="shared" si="4"/>
        <v>16153257254.584324</v>
      </c>
      <c r="I63" s="13">
        <f t="shared" si="4"/>
        <v>16799387544.767696</v>
      </c>
      <c r="J63" s="13">
        <f t="shared" si="4"/>
        <v>17471363046.558403</v>
      </c>
      <c r="K63" s="13">
        <f t="shared" si="4"/>
        <v>18170217568.420742</v>
      </c>
      <c r="L63" s="13">
        <f t="shared" si="4"/>
        <v>18897026271.15757</v>
      </c>
      <c r="M63" s="13"/>
    </row>
    <row r="64" spans="1:13" x14ac:dyDescent="0.25">
      <c r="A64" s="2"/>
      <c r="B64" s="2"/>
      <c r="M64" s="13"/>
    </row>
    <row r="65" spans="1:2" x14ac:dyDescent="0.25">
      <c r="A65" s="2"/>
      <c r="B65" s="2"/>
    </row>
    <row r="66" spans="1:2" x14ac:dyDescent="0.25">
      <c r="A66" s="2"/>
      <c r="B66" s="2"/>
    </row>
    <row r="67" spans="1:2" x14ac:dyDescent="0.25">
      <c r="A67" s="2"/>
      <c r="B67" s="5"/>
    </row>
    <row r="68" spans="1:2" x14ac:dyDescent="0.25">
      <c r="A68" s="2"/>
    </row>
    <row r="69" spans="1:2" x14ac:dyDescent="0.25">
      <c r="A69" s="2"/>
    </row>
    <row r="70" spans="1:2" x14ac:dyDescent="0.25">
      <c r="A70" s="2"/>
    </row>
    <row r="71" spans="1:2" x14ac:dyDescent="0.25">
      <c r="A71" s="2"/>
    </row>
    <row r="72" spans="1:2" x14ac:dyDescent="0.25">
      <c r="A72" s="2"/>
      <c r="B72" s="5"/>
    </row>
    <row r="73" spans="1:2" x14ac:dyDescent="0.25">
      <c r="A73" s="2"/>
    </row>
    <row r="74" spans="1:2" x14ac:dyDescent="0.25">
      <c r="A74" s="2"/>
    </row>
    <row r="75" spans="1:2" x14ac:dyDescent="0.25">
      <c r="A75" s="2"/>
      <c r="B75" s="5"/>
    </row>
    <row r="76" spans="1:2" x14ac:dyDescent="0.25">
      <c r="A76" s="2"/>
    </row>
    <row r="77" spans="1:2" x14ac:dyDescent="0.25">
      <c r="A77" s="2"/>
    </row>
    <row r="78" spans="1:2" x14ac:dyDescent="0.25">
      <c r="A78" s="2"/>
    </row>
    <row r="79" spans="1:2" x14ac:dyDescent="0.25">
      <c r="A79" s="2"/>
      <c r="B79" s="5"/>
    </row>
    <row r="80" spans="1:2" x14ac:dyDescent="0.25">
      <c r="A80" s="2"/>
    </row>
    <row r="81" spans="1:1" x14ac:dyDescent="0.25">
      <c r="A81" s="2"/>
    </row>
    <row r="82" spans="1:1" x14ac:dyDescent="0.25">
      <c r="A82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05553-8B97-4E66-97C8-AF235CD6EF41}">
  <dimension ref="A2:L44"/>
  <sheetViews>
    <sheetView showGridLines="0" zoomScale="80" zoomScaleNormal="80" workbookViewId="0">
      <selection activeCell="F44" sqref="F44"/>
    </sheetView>
  </sheetViews>
  <sheetFormatPr baseColWidth="10" defaultRowHeight="15" x14ac:dyDescent="0.25"/>
  <cols>
    <col min="1" max="1" width="31.28515625" bestFit="1" customWidth="1"/>
    <col min="2" max="2" width="17.85546875" bestFit="1" customWidth="1"/>
    <col min="3" max="12" width="19.140625" bestFit="1" customWidth="1"/>
  </cols>
  <sheetData>
    <row r="2" spans="1:12" x14ac:dyDescent="0.25">
      <c r="A2" s="43"/>
      <c r="B2" s="44">
        <v>0</v>
      </c>
      <c r="C2" s="44">
        <v>1</v>
      </c>
      <c r="D2" s="44">
        <v>2</v>
      </c>
      <c r="E2" s="44">
        <v>3</v>
      </c>
      <c r="F2" s="44">
        <v>4</v>
      </c>
      <c r="G2" s="44">
        <v>5</v>
      </c>
      <c r="H2" s="44">
        <v>6</v>
      </c>
      <c r="I2" s="44">
        <v>7</v>
      </c>
      <c r="J2" s="44">
        <v>8</v>
      </c>
      <c r="K2" s="44">
        <v>9</v>
      </c>
      <c r="L2" s="44">
        <v>10</v>
      </c>
    </row>
    <row r="3" spans="1:12" x14ac:dyDescent="0.25">
      <c r="A3" s="28" t="s">
        <v>87</v>
      </c>
      <c r="B3" s="21">
        <f>+Flujos!B63</f>
        <v>0</v>
      </c>
      <c r="C3" s="21">
        <f>+Flujos!C63</f>
        <v>13276800000</v>
      </c>
      <c r="D3" s="21">
        <f>+Flujos!D63</f>
        <v>13807872000</v>
      </c>
      <c r="E3" s="21">
        <f>+Flujos!E63</f>
        <v>14360186880</v>
      </c>
      <c r="F3" s="21">
        <f>+Flujos!F63</f>
        <v>14934594355.200001</v>
      </c>
      <c r="G3" s="21">
        <f>+Flujos!G63</f>
        <v>15531978129.408001</v>
      </c>
      <c r="H3" s="21">
        <f>+Flujos!H63</f>
        <v>16153257254.584324</v>
      </c>
      <c r="I3" s="21">
        <f>+Flujos!I63</f>
        <v>16799387544.767696</v>
      </c>
      <c r="J3" s="21">
        <f>+Flujos!J63</f>
        <v>17471363046.558403</v>
      </c>
      <c r="K3" s="21">
        <f>+Flujos!K63</f>
        <v>18170217568.420742</v>
      </c>
      <c r="L3" s="21">
        <f>+Flujos!L63</f>
        <v>18897026271.15757</v>
      </c>
    </row>
    <row r="4" spans="1:12" x14ac:dyDescent="0.25">
      <c r="A4" s="25" t="s">
        <v>94</v>
      </c>
      <c r="B4" s="21">
        <f>+Flujos!B46</f>
        <v>0</v>
      </c>
      <c r="C4" s="21">
        <f>+Flujos!C46*(1+Datos!$B$6)</f>
        <v>12357878400</v>
      </c>
      <c r="D4" s="21">
        <f>+Flujos!D46*(1+Datos!$B$6)</f>
        <v>12790404144</v>
      </c>
      <c r="E4" s="21">
        <f>+Flujos!E46*(1+Datos!$B$6)</f>
        <v>13238068289.039999</v>
      </c>
      <c r="F4" s="21">
        <f>+Flujos!F46*(1+Datos!$B$6)</f>
        <v>13701400679.156399</v>
      </c>
      <c r="G4" s="21">
        <f>+Flujos!G46*(1+Datos!$B$6)</f>
        <v>14180949702.926868</v>
      </c>
      <c r="H4" s="21">
        <f>+Flujos!H46*(1+Datos!$B$6)</f>
        <v>14677282942.529312</v>
      </c>
      <c r="I4" s="21">
        <f>+Flujos!I46*(1+Datos!$B$6)</f>
        <v>15190987845.517834</v>
      </c>
      <c r="J4" s="21">
        <f>+Flujos!J46*(1+Datos!$B$6)</f>
        <v>15722672420.110954</v>
      </c>
      <c r="K4" s="21">
        <f>+Flujos!K46*(1+Datos!$B$6)</f>
        <v>16272965954.814838</v>
      </c>
      <c r="L4" s="21">
        <f>+Flujos!L46*(1+Datos!$B$6)</f>
        <v>16842519763.233356</v>
      </c>
    </row>
    <row r="5" spans="1:12" x14ac:dyDescent="0.25">
      <c r="A5" s="25" t="s">
        <v>95</v>
      </c>
      <c r="B5" s="21">
        <f>+B3-B4</f>
        <v>0</v>
      </c>
      <c r="C5" s="21">
        <f t="shared" ref="C5:L5" si="0">+C3-C4</f>
        <v>918921600</v>
      </c>
      <c r="D5" s="21">
        <f t="shared" si="0"/>
        <v>1017467856</v>
      </c>
      <c r="E5" s="21">
        <f t="shared" si="0"/>
        <v>1122118590.960001</v>
      </c>
      <c r="F5" s="21">
        <f t="shared" si="0"/>
        <v>1233193676.043602</v>
      </c>
      <c r="G5" s="21">
        <f t="shared" si="0"/>
        <v>1351028426.4811325</v>
      </c>
      <c r="H5" s="21">
        <f t="shared" si="0"/>
        <v>1475974312.0550117</v>
      </c>
      <c r="I5" s="21">
        <f t="shared" si="0"/>
        <v>1608399699.2498627</v>
      </c>
      <c r="J5" s="21">
        <f t="shared" si="0"/>
        <v>1748690626.4474487</v>
      </c>
      <c r="K5" s="21">
        <f t="shared" si="0"/>
        <v>1897251613.6059036</v>
      </c>
      <c r="L5" s="21">
        <f t="shared" si="0"/>
        <v>2054506507.9242134</v>
      </c>
    </row>
    <row r="6" spans="1:12" x14ac:dyDescent="0.25">
      <c r="A6" s="20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</row>
    <row r="7" spans="1:12" x14ac:dyDescent="0.25">
      <c r="A7" s="25" t="s">
        <v>99</v>
      </c>
      <c r="B7" s="21">
        <f>+Flujos!B57</f>
        <v>0</v>
      </c>
      <c r="C7" s="21">
        <f>+Flujos!C57</f>
        <v>899832000</v>
      </c>
      <c r="D7" s="21">
        <f>+Flujos!D57</f>
        <v>931326120</v>
      </c>
      <c r="E7" s="21">
        <f>+Flujos!E57</f>
        <v>963922534.20000005</v>
      </c>
      <c r="F7" s="21">
        <f>+Flujos!F57</f>
        <v>997659822.89699996</v>
      </c>
      <c r="G7" s="21">
        <f>+Flujos!G57</f>
        <v>1032577916.6983949</v>
      </c>
      <c r="H7" s="21">
        <f>+Flujos!H57</f>
        <v>1068718143.7828387</v>
      </c>
      <c r="I7" s="21">
        <f>+Flujos!I57</f>
        <v>1106123278.8152378</v>
      </c>
      <c r="J7" s="21">
        <f>+Flujos!J57</f>
        <v>1144837593.5737712</v>
      </c>
      <c r="K7" s="21">
        <f>+Flujos!K57</f>
        <v>1184906909.3488529</v>
      </c>
      <c r="L7" s="21">
        <f>+Flujos!L57</f>
        <v>1226378651.1760626</v>
      </c>
    </row>
    <row r="8" spans="1:12" x14ac:dyDescent="0.25">
      <c r="A8" s="25" t="s">
        <v>100</v>
      </c>
      <c r="B8" s="21">
        <f>+B5-B7</f>
        <v>0</v>
      </c>
      <c r="C8" s="21">
        <f>+C5-C7</f>
        <v>19089600</v>
      </c>
      <c r="D8" s="21">
        <f t="shared" ref="D8:L8" si="1">+D5-D7</f>
        <v>86141736</v>
      </c>
      <c r="E8" s="21">
        <f t="shared" si="1"/>
        <v>158196056.76000094</v>
      </c>
      <c r="F8" s="21">
        <f t="shared" si="1"/>
        <v>235533853.14660203</v>
      </c>
      <c r="G8" s="21">
        <f t="shared" si="1"/>
        <v>318450509.78273761</v>
      </c>
      <c r="H8" s="21">
        <f t="shared" si="1"/>
        <v>407256168.27217305</v>
      </c>
      <c r="I8" s="21">
        <f t="shared" si="1"/>
        <v>502276420.43462491</v>
      </c>
      <c r="J8" s="21">
        <f t="shared" si="1"/>
        <v>603853032.87367749</v>
      </c>
      <c r="K8" s="21">
        <f t="shared" si="1"/>
        <v>712344704.25705075</v>
      </c>
      <c r="L8" s="21">
        <f t="shared" si="1"/>
        <v>828127856.74815083</v>
      </c>
    </row>
    <row r="9" spans="1:12" x14ac:dyDescent="0.25">
      <c r="A9" s="20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</row>
    <row r="10" spans="1:12" x14ac:dyDescent="0.25">
      <c r="A10" s="25" t="s">
        <v>101</v>
      </c>
      <c r="B10" s="21">
        <v>0</v>
      </c>
      <c r="C10" s="21">
        <f>+SUM(Flujos!$N$3:$N$34)</f>
        <v>49076000</v>
      </c>
      <c r="D10" s="21">
        <f>+SUM(Flujos!$N$3:$N$34)</f>
        <v>49076000</v>
      </c>
      <c r="E10" s="21">
        <f>+SUM(Flujos!$N$3:$N$34)</f>
        <v>49076000</v>
      </c>
      <c r="F10" s="21">
        <f>+SUM(Flujos!$N$3:$N$34)</f>
        <v>49076000</v>
      </c>
      <c r="G10" s="21">
        <f>+SUM(Flujos!$N$3:$N$34)</f>
        <v>49076000</v>
      </c>
      <c r="H10" s="21">
        <f>+SUM(Flujos!$N$3:$N$34)</f>
        <v>49076000</v>
      </c>
      <c r="I10" s="21">
        <f>+SUM(Flujos!$N$3:$N$34)</f>
        <v>49076000</v>
      </c>
      <c r="J10" s="21">
        <f>+SUM(Flujos!$N$3:$N$34)</f>
        <v>49076000</v>
      </c>
      <c r="K10" s="21">
        <f>+SUM(Flujos!$N$3:$N$34)</f>
        <v>49076000</v>
      </c>
      <c r="L10" s="21">
        <f>+SUM(Flujos!$N$3:$N$34)</f>
        <v>49076000</v>
      </c>
    </row>
    <row r="11" spans="1:12" x14ac:dyDescent="0.25">
      <c r="A11" s="25" t="s">
        <v>102</v>
      </c>
      <c r="B11" s="21">
        <f>+B8-B10</f>
        <v>0</v>
      </c>
      <c r="C11" s="21">
        <f t="shared" ref="C11:L11" si="2">+C8-C10</f>
        <v>-29986400</v>
      </c>
      <c r="D11" s="21">
        <f t="shared" si="2"/>
        <v>37065736</v>
      </c>
      <c r="E11" s="21">
        <f t="shared" si="2"/>
        <v>109120056.76000094</v>
      </c>
      <c r="F11" s="21">
        <f t="shared" si="2"/>
        <v>186457853.14660203</v>
      </c>
      <c r="G11" s="21">
        <f t="shared" si="2"/>
        <v>269374509.78273761</v>
      </c>
      <c r="H11" s="21">
        <f t="shared" si="2"/>
        <v>358180168.27217305</v>
      </c>
      <c r="I11" s="21">
        <f t="shared" si="2"/>
        <v>453200420.43462491</v>
      </c>
      <c r="J11" s="21">
        <f t="shared" si="2"/>
        <v>554777032.87367749</v>
      </c>
      <c r="K11" s="21">
        <f t="shared" si="2"/>
        <v>663268704.25705075</v>
      </c>
      <c r="L11" s="21">
        <f t="shared" si="2"/>
        <v>779051856.74815083</v>
      </c>
    </row>
    <row r="12" spans="1:12" x14ac:dyDescent="0.25">
      <c r="A12" s="20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</row>
    <row r="13" spans="1:12" x14ac:dyDescent="0.25">
      <c r="A13" s="25" t="s">
        <v>103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</row>
    <row r="14" spans="1:12" x14ac:dyDescent="0.25">
      <c r="A14" s="25" t="s">
        <v>117</v>
      </c>
      <c r="B14" s="21">
        <f>+B11-B13</f>
        <v>0</v>
      </c>
      <c r="C14" s="21">
        <f t="shared" ref="C14:L14" si="3">+C11-C13</f>
        <v>-29986400</v>
      </c>
      <c r="D14" s="21">
        <f t="shared" si="3"/>
        <v>37065736</v>
      </c>
      <c r="E14" s="21">
        <f t="shared" si="3"/>
        <v>109120056.76000094</v>
      </c>
      <c r="F14" s="21">
        <f t="shared" si="3"/>
        <v>186457853.14660203</v>
      </c>
      <c r="G14" s="21">
        <f t="shared" si="3"/>
        <v>269374509.78273761</v>
      </c>
      <c r="H14" s="21">
        <f t="shared" si="3"/>
        <v>358180168.27217305</v>
      </c>
      <c r="I14" s="21">
        <f t="shared" si="3"/>
        <v>453200420.43462491</v>
      </c>
      <c r="J14" s="21">
        <f t="shared" si="3"/>
        <v>554777032.87367749</v>
      </c>
      <c r="K14" s="21">
        <f t="shared" si="3"/>
        <v>663268704.25705075</v>
      </c>
      <c r="L14" s="21">
        <f t="shared" si="3"/>
        <v>779051856.74815083</v>
      </c>
    </row>
    <row r="15" spans="1:12" x14ac:dyDescent="0.25">
      <c r="A15" s="20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</row>
    <row r="16" spans="1:12" x14ac:dyDescent="0.25">
      <c r="A16" s="25" t="s">
        <v>118</v>
      </c>
      <c r="B16" s="21">
        <f>+B14*Datos!$B$1</f>
        <v>0</v>
      </c>
      <c r="C16" s="21">
        <f>+C14*Datos!$B$1</f>
        <v>-10495240</v>
      </c>
      <c r="D16" s="21">
        <f>+D14*Datos!$B$1</f>
        <v>12973007.6</v>
      </c>
      <c r="E16" s="21">
        <f>+E14*Datos!$B$1</f>
        <v>38192019.866000324</v>
      </c>
      <c r="F16" s="21">
        <f>+F14*Datos!$B$1</f>
        <v>65260248.601310708</v>
      </c>
      <c r="G16" s="21">
        <f>+G14*Datos!$B$1</f>
        <v>94281078.423958153</v>
      </c>
      <c r="H16" s="21">
        <f>+H14*Datos!$B$1</f>
        <v>125363058.89526056</v>
      </c>
      <c r="I16" s="21">
        <f>+I14*Datos!$B$1</f>
        <v>158620147.15211871</v>
      </c>
      <c r="J16" s="21">
        <f>+J14*Datos!$B$1</f>
        <v>194171961.5057871</v>
      </c>
      <c r="K16" s="21">
        <f>+K14*Datos!$B$1</f>
        <v>232144046.48996776</v>
      </c>
      <c r="L16" s="21">
        <f>+L14*Datos!$B$1</f>
        <v>272668149.86185277</v>
      </c>
    </row>
    <row r="17" spans="1:12" x14ac:dyDescent="0.25">
      <c r="A17" s="25" t="s">
        <v>119</v>
      </c>
      <c r="B17" s="26">
        <f>+B14-B16</f>
        <v>0</v>
      </c>
      <c r="C17" s="26">
        <f t="shared" ref="C17:L17" si="4">+C14-C16</f>
        <v>-19491160</v>
      </c>
      <c r="D17" s="26">
        <f t="shared" si="4"/>
        <v>24092728.399999999</v>
      </c>
      <c r="E17" s="26">
        <f t="shared" si="4"/>
        <v>70928036.89400062</v>
      </c>
      <c r="F17" s="26">
        <f t="shared" si="4"/>
        <v>121197604.54529133</v>
      </c>
      <c r="G17" s="26">
        <f t="shared" si="4"/>
        <v>175093431.35877946</v>
      </c>
      <c r="H17" s="26">
        <f t="shared" si="4"/>
        <v>232817109.37691247</v>
      </c>
      <c r="I17" s="26">
        <f t="shared" si="4"/>
        <v>294580273.28250623</v>
      </c>
      <c r="J17" s="26">
        <f t="shared" si="4"/>
        <v>360605071.36789036</v>
      </c>
      <c r="K17" s="26">
        <f t="shared" si="4"/>
        <v>431124657.76708299</v>
      </c>
      <c r="L17" s="26">
        <f t="shared" si="4"/>
        <v>506383706.88629806</v>
      </c>
    </row>
    <row r="18" spans="1:12" x14ac:dyDescent="0.25">
      <c r="A18" s="20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</row>
    <row r="19" spans="1:12" x14ac:dyDescent="0.25">
      <c r="A19" s="25" t="s">
        <v>101</v>
      </c>
      <c r="B19" s="21">
        <f>+B10</f>
        <v>0</v>
      </c>
      <c r="C19" s="21">
        <f t="shared" ref="C19:L19" si="5">+C10</f>
        <v>49076000</v>
      </c>
      <c r="D19" s="21">
        <f t="shared" si="5"/>
        <v>49076000</v>
      </c>
      <c r="E19" s="21">
        <f t="shared" si="5"/>
        <v>49076000</v>
      </c>
      <c r="F19" s="21">
        <f t="shared" si="5"/>
        <v>49076000</v>
      </c>
      <c r="G19" s="21">
        <f t="shared" si="5"/>
        <v>49076000</v>
      </c>
      <c r="H19" s="21">
        <f t="shared" si="5"/>
        <v>49076000</v>
      </c>
      <c r="I19" s="21">
        <f t="shared" si="5"/>
        <v>49076000</v>
      </c>
      <c r="J19" s="21">
        <f t="shared" si="5"/>
        <v>49076000</v>
      </c>
      <c r="K19" s="21">
        <f t="shared" si="5"/>
        <v>49076000</v>
      </c>
      <c r="L19" s="21">
        <f t="shared" si="5"/>
        <v>49076000</v>
      </c>
    </row>
    <row r="20" spans="1:12" x14ac:dyDescent="0.25">
      <c r="A20" s="25" t="s">
        <v>121</v>
      </c>
      <c r="B20" s="21">
        <f>+B17+B19</f>
        <v>0</v>
      </c>
      <c r="C20" s="21">
        <f t="shared" ref="C20:L20" si="6">+C17+C19</f>
        <v>29584840</v>
      </c>
      <c r="D20" s="21">
        <f t="shared" si="6"/>
        <v>73168728.400000006</v>
      </c>
      <c r="E20" s="21">
        <f t="shared" si="6"/>
        <v>120004036.89400062</v>
      </c>
      <c r="F20" s="21">
        <f t="shared" si="6"/>
        <v>170273604.54529133</v>
      </c>
      <c r="G20" s="21">
        <f t="shared" si="6"/>
        <v>224169431.35877946</v>
      </c>
      <c r="H20" s="21">
        <f t="shared" si="6"/>
        <v>281893109.37691247</v>
      </c>
      <c r="I20" s="21">
        <f t="shared" si="6"/>
        <v>343656273.28250623</v>
      </c>
      <c r="J20" s="21">
        <f t="shared" si="6"/>
        <v>409681071.36789036</v>
      </c>
      <c r="K20" s="21">
        <f t="shared" si="6"/>
        <v>480200657.76708299</v>
      </c>
      <c r="L20" s="21">
        <f t="shared" si="6"/>
        <v>555459706.88629806</v>
      </c>
    </row>
    <row r="21" spans="1:12" x14ac:dyDescent="0.25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spans="1:12" x14ac:dyDescent="0.25">
      <c r="A22" s="25" t="s">
        <v>120</v>
      </c>
      <c r="B22" s="29">
        <f>+Flujos!B36</f>
        <v>490760000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</row>
    <row r="23" spans="1:12" x14ac:dyDescent="0.25">
      <c r="A23" s="20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</row>
    <row r="24" spans="1:12" x14ac:dyDescent="0.25">
      <c r="A24" s="25" t="s">
        <v>122</v>
      </c>
      <c r="B24" s="21">
        <f>+B20-B22</f>
        <v>-490760000</v>
      </c>
      <c r="C24" s="21">
        <f t="shared" ref="C24:L24" si="7">+C20-C22</f>
        <v>29584840</v>
      </c>
      <c r="D24" s="21">
        <f t="shared" si="7"/>
        <v>73168728.400000006</v>
      </c>
      <c r="E24" s="21">
        <f t="shared" si="7"/>
        <v>120004036.89400062</v>
      </c>
      <c r="F24" s="21">
        <f t="shared" si="7"/>
        <v>170273604.54529133</v>
      </c>
      <c r="G24" s="21">
        <f t="shared" si="7"/>
        <v>224169431.35877946</v>
      </c>
      <c r="H24" s="21">
        <f t="shared" si="7"/>
        <v>281893109.37691247</v>
      </c>
      <c r="I24" s="21">
        <f t="shared" si="7"/>
        <v>343656273.28250623</v>
      </c>
      <c r="J24" s="21">
        <f t="shared" si="7"/>
        <v>409681071.36789036</v>
      </c>
      <c r="K24" s="21">
        <f t="shared" si="7"/>
        <v>480200657.76708299</v>
      </c>
      <c r="L24" s="21">
        <f t="shared" si="7"/>
        <v>555459706.88629806</v>
      </c>
    </row>
    <row r="25" spans="1:12" x14ac:dyDescent="0.25">
      <c r="A25" s="25"/>
      <c r="B25" s="21"/>
      <c r="C25" s="27">
        <f>+C24+B24</f>
        <v>-461175160</v>
      </c>
      <c r="D25" s="27">
        <f>+D24+C25</f>
        <v>-388006431.60000002</v>
      </c>
      <c r="E25" s="27">
        <f t="shared" ref="E25:L25" si="8">+E24+D25</f>
        <v>-268002394.7059994</v>
      </c>
      <c r="F25" s="27">
        <f t="shared" si="8"/>
        <v>-97728790.16070807</v>
      </c>
      <c r="G25" s="27">
        <f t="shared" si="8"/>
        <v>126440641.19807139</v>
      </c>
      <c r="H25" s="27">
        <f t="shared" si="8"/>
        <v>408333750.57498384</v>
      </c>
      <c r="I25" s="27">
        <f t="shared" si="8"/>
        <v>751990023.85749006</v>
      </c>
      <c r="J25" s="27">
        <f t="shared" si="8"/>
        <v>1161671095.2253804</v>
      </c>
      <c r="K25" s="27">
        <f t="shared" si="8"/>
        <v>1641871752.9924634</v>
      </c>
      <c r="L25" s="27">
        <f t="shared" si="8"/>
        <v>2197331459.8787613</v>
      </c>
    </row>
    <row r="26" spans="1:12" x14ac:dyDescent="0.25">
      <c r="A26" s="5"/>
      <c r="B26" s="18"/>
      <c r="C26" s="24"/>
      <c r="D26" s="24"/>
      <c r="E26" s="24"/>
      <c r="F26" s="24"/>
      <c r="G26" s="24"/>
      <c r="H26" s="24"/>
      <c r="I26" s="24"/>
      <c r="J26" s="24"/>
      <c r="K26" s="24"/>
      <c r="L26" s="24"/>
    </row>
    <row r="27" spans="1:12" x14ac:dyDescent="0.25">
      <c r="A27" s="30" t="s">
        <v>126</v>
      </c>
      <c r="B27" s="31">
        <f>+IRR(B24:L24)</f>
        <v>0.29947013655656951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</row>
    <row r="28" spans="1:12" x14ac:dyDescent="0.25">
      <c r="A28" s="30" t="s">
        <v>133</v>
      </c>
      <c r="B28" s="32">
        <f>+'Deuda y ke'!$C$28</f>
        <v>0.15805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</row>
    <row r="29" spans="1:12" x14ac:dyDescent="0.25">
      <c r="A29" s="30" t="s">
        <v>134</v>
      </c>
      <c r="B29" s="33">
        <f>+NPV(B28,C24:L24)+B24</f>
        <v>491738580.03603876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</row>
    <row r="30" spans="1:12" x14ac:dyDescent="0.25">
      <c r="A30" s="30" t="s">
        <v>135</v>
      </c>
      <c r="B30" s="32">
        <f>-B24/SUM(C24:L24)</f>
        <v>0.18256819283304235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</row>
    <row r="31" spans="1:12" x14ac:dyDescent="0.25">
      <c r="A31" s="30" t="s">
        <v>145</v>
      </c>
      <c r="B31" s="34">
        <f>4+-F25/G25</f>
        <v>4.7729222917148473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</row>
    <row r="32" spans="1:12" x14ac:dyDescent="0.25">
      <c r="A32" s="5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</row>
    <row r="33" spans="1:12" ht="13.15" customHeight="1" x14ac:dyDescent="0.25">
      <c r="B33" s="19">
        <f t="array" ref="B33:L33">+TRANSPOSE('Deuda y ke'!E11:E21)</f>
        <v>0</v>
      </c>
      <c r="C33" s="19">
        <v>29445600</v>
      </c>
      <c r="D33" s="19">
        <v>28311274.309930086</v>
      </c>
      <c r="E33" s="19">
        <v>26950083.481846191</v>
      </c>
      <c r="F33" s="19">
        <v>25316654.488145515</v>
      </c>
      <c r="G33" s="19">
        <v>23356539.695704699</v>
      </c>
      <c r="H33" s="19">
        <v>21004401.944775723</v>
      </c>
      <c r="I33" s="19">
        <v>18181836.643660951</v>
      </c>
      <c r="J33" s="19">
        <v>14794758.282323224</v>
      </c>
      <c r="K33" s="19">
        <v>10730264.248717953</v>
      </c>
      <c r="L33" s="19">
        <v>5852871.4083916256</v>
      </c>
    </row>
    <row r="34" spans="1:12" ht="13.15" customHeight="1" x14ac:dyDescent="0.25">
      <c r="A34" s="25" t="s">
        <v>127</v>
      </c>
      <c r="B34" s="21">
        <f>+B33*(1-Datos!$B$1)</f>
        <v>0</v>
      </c>
      <c r="C34" s="21">
        <f>+C33*(1-Datos!$B$1)</f>
        <v>19139640</v>
      </c>
      <c r="D34" s="21">
        <f>+D33*(1-Datos!$B$1)</f>
        <v>18402328.301454555</v>
      </c>
      <c r="E34" s="21">
        <f>+E33*(1-Datos!$B$1)</f>
        <v>17517554.263200026</v>
      </c>
      <c r="F34" s="21">
        <f>+F33*(1-Datos!$B$1)</f>
        <v>16455825.417294586</v>
      </c>
      <c r="G34" s="21">
        <f>+G33*(1-Datos!$B$1)</f>
        <v>15181750.802208055</v>
      </c>
      <c r="H34" s="21">
        <f>+H33*(1-Datos!$B$1)</f>
        <v>13652861.264104221</v>
      </c>
      <c r="I34" s="21">
        <f>+I33*(1-Datos!$B$1)</f>
        <v>11818193.818379618</v>
      </c>
      <c r="J34" s="21">
        <f>+J33*(1-Datos!$B$1)</f>
        <v>9616592.883510096</v>
      </c>
      <c r="K34" s="21">
        <f>+K33*(1-Datos!$B$1)</f>
        <v>6974671.7616666695</v>
      </c>
      <c r="L34" s="21">
        <f>+L33*(1-Datos!$B$1)</f>
        <v>3804366.4154545567</v>
      </c>
    </row>
    <row r="35" spans="1:12" x14ac:dyDescent="0.25">
      <c r="A35" s="25" t="s">
        <v>123</v>
      </c>
      <c r="B35" s="21">
        <f t="array" ref="B35:L35">+TRANSPOSE('Deuda y ke'!F11:F21)</f>
        <v>0</v>
      </c>
      <c r="C35" s="21">
        <v>5671628.4503495842</v>
      </c>
      <c r="D35" s="21">
        <v>6805954.1404194981</v>
      </c>
      <c r="E35" s="21">
        <v>8167144.9685033932</v>
      </c>
      <c r="F35" s="21">
        <v>9800573.9622040689</v>
      </c>
      <c r="G35" s="21">
        <v>11760688.754644886</v>
      </c>
      <c r="H35" s="21">
        <v>14112826.505573861</v>
      </c>
      <c r="I35" s="21">
        <v>16935391.806688633</v>
      </c>
      <c r="J35" s="21">
        <v>20322470.168026358</v>
      </c>
      <c r="K35" s="21">
        <v>24386964.201631632</v>
      </c>
      <c r="L35" s="21">
        <v>29264357.04195796</v>
      </c>
    </row>
    <row r="36" spans="1:12" x14ac:dyDescent="0.25">
      <c r="A36" s="25" t="s">
        <v>128</v>
      </c>
      <c r="B36" s="21">
        <f>+'Deuda y ke'!D4</f>
        <v>147228000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</row>
    <row r="37" spans="1:12" x14ac:dyDescent="0.25">
      <c r="A37" s="25" t="s">
        <v>124</v>
      </c>
      <c r="B37" s="21">
        <f>+B24-B35-B34+B36</f>
        <v>-343532000</v>
      </c>
      <c r="C37" s="21">
        <f t="shared" ref="C37:L37" si="9">+C24-C35-C34+C36</f>
        <v>4773571.5496504158</v>
      </c>
      <c r="D37" s="21">
        <f t="shared" si="9"/>
        <v>47960445.958125949</v>
      </c>
      <c r="E37" s="21">
        <f t="shared" si="9"/>
        <v>94319337.662297204</v>
      </c>
      <c r="F37" s="21">
        <f t="shared" si="9"/>
        <v>144017205.16579267</v>
      </c>
      <c r="G37" s="21">
        <f t="shared" si="9"/>
        <v>197226991.80192649</v>
      </c>
      <c r="H37" s="21">
        <f t="shared" si="9"/>
        <v>254127421.60723439</v>
      </c>
      <c r="I37" s="21">
        <f t="shared" si="9"/>
        <v>314902687.65743798</v>
      </c>
      <c r="J37" s="21">
        <f t="shared" si="9"/>
        <v>379742008.31635392</v>
      </c>
      <c r="K37" s="21">
        <f t="shared" si="9"/>
        <v>448839021.80378473</v>
      </c>
      <c r="L37" s="21">
        <f t="shared" si="9"/>
        <v>522390983.42888552</v>
      </c>
    </row>
    <row r="38" spans="1:12" x14ac:dyDescent="0.25">
      <c r="A38" s="25"/>
      <c r="B38" s="21"/>
      <c r="C38" s="27">
        <f>+C37+B37</f>
        <v>-338758428.45034957</v>
      </c>
      <c r="D38" s="27">
        <f>+D37+C38</f>
        <v>-290797982.49222362</v>
      </c>
      <c r="E38" s="27">
        <f t="shared" ref="E38" si="10">+E37+D38</f>
        <v>-196478644.82992643</v>
      </c>
      <c r="F38" s="27">
        <f t="shared" ref="F38" si="11">+F37+E38</f>
        <v>-52461439.664133757</v>
      </c>
      <c r="G38" s="27">
        <f t="shared" ref="G38" si="12">+G37+F38</f>
        <v>144765552.13779274</v>
      </c>
      <c r="H38" s="27">
        <f t="shared" ref="H38" si="13">+H37+G38</f>
        <v>398892973.74502712</v>
      </c>
      <c r="I38" s="27">
        <f t="shared" ref="I38" si="14">+I37+H38</f>
        <v>713795661.40246511</v>
      </c>
      <c r="J38" s="27">
        <f t="shared" ref="J38" si="15">+J37+I38</f>
        <v>1093537669.7188191</v>
      </c>
      <c r="K38" s="27">
        <f t="shared" ref="K38" si="16">+K37+J38</f>
        <v>1542376691.522604</v>
      </c>
      <c r="L38" s="27">
        <f t="shared" ref="L38" si="17">+L37+K38</f>
        <v>2064767674.9514894</v>
      </c>
    </row>
    <row r="39" spans="1:12" x14ac:dyDescent="0.25">
      <c r="A39" s="5"/>
      <c r="B39" s="18"/>
      <c r="C39" s="24"/>
      <c r="D39" s="24"/>
      <c r="E39" s="24"/>
      <c r="F39" s="24"/>
      <c r="G39" s="24"/>
      <c r="H39" s="24"/>
      <c r="I39" s="24"/>
      <c r="J39" s="24"/>
      <c r="K39" s="24"/>
      <c r="L39" s="24"/>
    </row>
    <row r="40" spans="1:12" x14ac:dyDescent="0.25">
      <c r="A40" s="30" t="s">
        <v>126</v>
      </c>
      <c r="B40" s="31">
        <f>+IRR(B37:L37)</f>
        <v>0.33831545476589775</v>
      </c>
    </row>
    <row r="41" spans="1:12" x14ac:dyDescent="0.25">
      <c r="A41" s="30" t="s">
        <v>133</v>
      </c>
      <c r="B41" s="32">
        <f>+'Deuda y ke'!$C$28</f>
        <v>0.15805</v>
      </c>
    </row>
    <row r="42" spans="1:12" x14ac:dyDescent="0.25">
      <c r="A42" s="30" t="s">
        <v>134</v>
      </c>
      <c r="B42" s="33">
        <f>+NPV(B41,C37:L37)+B37</f>
        <v>507613132.85375607</v>
      </c>
    </row>
    <row r="43" spans="1:12" x14ac:dyDescent="0.25">
      <c r="A43" s="30" t="s">
        <v>135</v>
      </c>
      <c r="B43" s="32">
        <f>-B37/SUM(C37:L37)</f>
        <v>0.14264503856104194</v>
      </c>
    </row>
    <row r="44" spans="1:12" x14ac:dyDescent="0.25">
      <c r="A44" s="30" t="s">
        <v>145</v>
      </c>
      <c r="B44" s="34">
        <f>4+-F38/G38</f>
        <v>4.3623889723032949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3C709-884E-4F53-BBE8-28F7C944E488}">
  <dimension ref="B2:G28"/>
  <sheetViews>
    <sheetView tabSelected="1" topLeftCell="A11" workbookViewId="0">
      <selection activeCell="B2" sqref="B2:G28"/>
    </sheetView>
  </sheetViews>
  <sheetFormatPr baseColWidth="10" defaultRowHeight="15" x14ac:dyDescent="0.25"/>
  <cols>
    <col min="3" max="3" width="16.5703125" bestFit="1" customWidth="1"/>
    <col min="4" max="4" width="15.140625" bestFit="1" customWidth="1"/>
    <col min="5" max="6" width="14" bestFit="1" customWidth="1"/>
    <col min="7" max="7" width="15.140625" bestFit="1" customWidth="1"/>
  </cols>
  <sheetData>
    <row r="2" spans="2:7" x14ac:dyDescent="0.25">
      <c r="B2" t="s">
        <v>106</v>
      </c>
      <c r="C2" s="13">
        <f>+Flujos!B36</f>
        <v>490760000</v>
      </c>
    </row>
    <row r="4" spans="2:7" x14ac:dyDescent="0.25">
      <c r="B4" t="s">
        <v>107</v>
      </c>
      <c r="C4" s="12">
        <f>+Datos!B5</f>
        <v>0.3</v>
      </c>
      <c r="D4" s="18">
        <f>+C2*C4</f>
        <v>147228000</v>
      </c>
    </row>
    <row r="5" spans="2:7" x14ac:dyDescent="0.25">
      <c r="B5" t="s">
        <v>108</v>
      </c>
      <c r="C5" s="12">
        <f>+Datos!B4</f>
        <v>0.2</v>
      </c>
    </row>
    <row r="6" spans="2:7" x14ac:dyDescent="0.25">
      <c r="B6" t="s">
        <v>109</v>
      </c>
      <c r="C6">
        <v>10</v>
      </c>
    </row>
    <row r="7" spans="2:7" x14ac:dyDescent="0.25">
      <c r="B7" t="s">
        <v>111</v>
      </c>
      <c r="C7" s="18">
        <f>+PMT(C5,C6,-D4)</f>
        <v>35117228.450349584</v>
      </c>
    </row>
    <row r="10" spans="2:7" x14ac:dyDescent="0.25">
      <c r="B10" s="20" t="s">
        <v>110</v>
      </c>
      <c r="C10" s="20" t="s">
        <v>112</v>
      </c>
      <c r="D10" s="20" t="s">
        <v>113</v>
      </c>
      <c r="E10" s="20" t="s">
        <v>114</v>
      </c>
      <c r="F10" s="20" t="s">
        <v>115</v>
      </c>
      <c r="G10" s="20" t="s">
        <v>116</v>
      </c>
    </row>
    <row r="11" spans="2:7" x14ac:dyDescent="0.25">
      <c r="B11" s="20">
        <v>0</v>
      </c>
      <c r="C11" s="21">
        <f>+D4</f>
        <v>147228000</v>
      </c>
      <c r="D11" s="20"/>
      <c r="E11" s="20"/>
      <c r="F11" s="20"/>
      <c r="G11" s="21">
        <f>+C11-F11</f>
        <v>147228000</v>
      </c>
    </row>
    <row r="12" spans="2:7" x14ac:dyDescent="0.25">
      <c r="B12" s="20">
        <v>1</v>
      </c>
      <c r="C12" s="21">
        <f>+G11</f>
        <v>147228000</v>
      </c>
      <c r="D12" s="21">
        <f>+$C$7</f>
        <v>35117228.450349584</v>
      </c>
      <c r="E12" s="21">
        <f>+C12*$C$5</f>
        <v>29445600</v>
      </c>
      <c r="F12" s="21">
        <f>+D12-E12</f>
        <v>5671628.4503495842</v>
      </c>
      <c r="G12" s="21">
        <f>+C12-F12</f>
        <v>141556371.54965043</v>
      </c>
    </row>
    <row r="13" spans="2:7" x14ac:dyDescent="0.25">
      <c r="B13" s="20">
        <v>2</v>
      </c>
      <c r="C13" s="21">
        <f t="shared" ref="C13:C21" si="0">+G12</f>
        <v>141556371.54965043</v>
      </c>
      <c r="D13" s="21">
        <f t="shared" ref="D13:D21" si="1">+$C$7</f>
        <v>35117228.450349584</v>
      </c>
      <c r="E13" s="21">
        <f t="shared" ref="E13:E21" si="2">+C13*$C$5</f>
        <v>28311274.309930086</v>
      </c>
      <c r="F13" s="21">
        <f t="shared" ref="F13:F21" si="3">+D13-E13</f>
        <v>6805954.1404194981</v>
      </c>
      <c r="G13" s="21">
        <f t="shared" ref="G13:G21" si="4">+C13-F13</f>
        <v>134750417.40923095</v>
      </c>
    </row>
    <row r="14" spans="2:7" x14ac:dyDescent="0.25">
      <c r="B14" s="20">
        <v>3</v>
      </c>
      <c r="C14" s="21">
        <f t="shared" si="0"/>
        <v>134750417.40923095</v>
      </c>
      <c r="D14" s="21">
        <f t="shared" si="1"/>
        <v>35117228.450349584</v>
      </c>
      <c r="E14" s="21">
        <f t="shared" si="2"/>
        <v>26950083.481846191</v>
      </c>
      <c r="F14" s="21">
        <f t="shared" si="3"/>
        <v>8167144.9685033932</v>
      </c>
      <c r="G14" s="21">
        <f t="shared" si="4"/>
        <v>126583272.44072756</v>
      </c>
    </row>
    <row r="15" spans="2:7" x14ac:dyDescent="0.25">
      <c r="B15" s="20">
        <v>4</v>
      </c>
      <c r="C15" s="21">
        <f t="shared" si="0"/>
        <v>126583272.44072756</v>
      </c>
      <c r="D15" s="21">
        <f t="shared" si="1"/>
        <v>35117228.450349584</v>
      </c>
      <c r="E15" s="21">
        <f t="shared" si="2"/>
        <v>25316654.488145515</v>
      </c>
      <c r="F15" s="21">
        <f t="shared" si="3"/>
        <v>9800573.9622040689</v>
      </c>
      <c r="G15" s="21">
        <f t="shared" si="4"/>
        <v>116782698.47852349</v>
      </c>
    </row>
    <row r="16" spans="2:7" x14ac:dyDescent="0.25">
      <c r="B16" s="20">
        <v>5</v>
      </c>
      <c r="C16" s="21">
        <f t="shared" si="0"/>
        <v>116782698.47852349</v>
      </c>
      <c r="D16" s="21">
        <f t="shared" si="1"/>
        <v>35117228.450349584</v>
      </c>
      <c r="E16" s="21">
        <f t="shared" si="2"/>
        <v>23356539.695704699</v>
      </c>
      <c r="F16" s="21">
        <f t="shared" si="3"/>
        <v>11760688.754644886</v>
      </c>
      <c r="G16" s="21">
        <f t="shared" si="4"/>
        <v>105022009.72387861</v>
      </c>
    </row>
    <row r="17" spans="2:7" x14ac:dyDescent="0.25">
      <c r="B17" s="20">
        <v>6</v>
      </c>
      <c r="C17" s="21">
        <f t="shared" si="0"/>
        <v>105022009.72387861</v>
      </c>
      <c r="D17" s="21">
        <f t="shared" si="1"/>
        <v>35117228.450349584</v>
      </c>
      <c r="E17" s="21">
        <f t="shared" si="2"/>
        <v>21004401.944775723</v>
      </c>
      <c r="F17" s="21">
        <f t="shared" si="3"/>
        <v>14112826.505573861</v>
      </c>
      <c r="G17" s="21">
        <f t="shared" si="4"/>
        <v>90909183.218304753</v>
      </c>
    </row>
    <row r="18" spans="2:7" x14ac:dyDescent="0.25">
      <c r="B18" s="20">
        <v>7</v>
      </c>
      <c r="C18" s="21">
        <f t="shared" si="0"/>
        <v>90909183.218304753</v>
      </c>
      <c r="D18" s="21">
        <f t="shared" si="1"/>
        <v>35117228.450349584</v>
      </c>
      <c r="E18" s="21">
        <f t="shared" si="2"/>
        <v>18181836.643660951</v>
      </c>
      <c r="F18" s="21">
        <f t="shared" si="3"/>
        <v>16935391.806688633</v>
      </c>
      <c r="G18" s="21">
        <f t="shared" si="4"/>
        <v>73973791.411616117</v>
      </c>
    </row>
    <row r="19" spans="2:7" x14ac:dyDescent="0.25">
      <c r="B19" s="20">
        <v>8</v>
      </c>
      <c r="C19" s="21">
        <f t="shared" si="0"/>
        <v>73973791.411616117</v>
      </c>
      <c r="D19" s="21">
        <f t="shared" si="1"/>
        <v>35117228.450349584</v>
      </c>
      <c r="E19" s="21">
        <f t="shared" si="2"/>
        <v>14794758.282323224</v>
      </c>
      <c r="F19" s="21">
        <f t="shared" si="3"/>
        <v>20322470.168026358</v>
      </c>
      <c r="G19" s="21">
        <f t="shared" si="4"/>
        <v>53651321.243589759</v>
      </c>
    </row>
    <row r="20" spans="2:7" x14ac:dyDescent="0.25">
      <c r="B20" s="20">
        <v>9</v>
      </c>
      <c r="C20" s="21">
        <f t="shared" si="0"/>
        <v>53651321.243589759</v>
      </c>
      <c r="D20" s="21">
        <f t="shared" si="1"/>
        <v>35117228.450349584</v>
      </c>
      <c r="E20" s="21">
        <f t="shared" si="2"/>
        <v>10730264.248717953</v>
      </c>
      <c r="F20" s="21">
        <f t="shared" si="3"/>
        <v>24386964.201631632</v>
      </c>
      <c r="G20" s="21">
        <f t="shared" si="4"/>
        <v>29264357.041958127</v>
      </c>
    </row>
    <row r="21" spans="2:7" x14ac:dyDescent="0.25">
      <c r="B21" s="20">
        <v>10</v>
      </c>
      <c r="C21" s="21">
        <f t="shared" si="0"/>
        <v>29264357.041958127</v>
      </c>
      <c r="D21" s="21">
        <f t="shared" si="1"/>
        <v>35117228.450349584</v>
      </c>
      <c r="E21" s="21">
        <f t="shared" si="2"/>
        <v>5852871.4083916256</v>
      </c>
      <c r="F21" s="21">
        <f t="shared" si="3"/>
        <v>29264357.04195796</v>
      </c>
      <c r="G21" s="21">
        <f t="shared" si="4"/>
        <v>1.6763806343078613E-7</v>
      </c>
    </row>
    <row r="24" spans="2:7" x14ac:dyDescent="0.25">
      <c r="B24" t="s">
        <v>129</v>
      </c>
      <c r="C24" s="22">
        <f>+Datos!B3</f>
        <v>3.5000000000000003E-2</v>
      </c>
    </row>
    <row r="25" spans="2:7" x14ac:dyDescent="0.25">
      <c r="B25" t="s">
        <v>130</v>
      </c>
      <c r="C25" s="22">
        <v>0.15</v>
      </c>
    </row>
    <row r="26" spans="2:7" x14ac:dyDescent="0.25">
      <c r="B26" t="s">
        <v>131</v>
      </c>
      <c r="C26">
        <v>1.07</v>
      </c>
    </row>
    <row r="28" spans="2:7" x14ac:dyDescent="0.25">
      <c r="B28" t="s">
        <v>133</v>
      </c>
      <c r="C28" s="22">
        <f>+C24+C26*(C25-C24)</f>
        <v>0.15805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</vt:lpstr>
      <vt:lpstr>Flujos</vt:lpstr>
      <vt:lpstr>Flujo de caja</vt:lpstr>
      <vt:lpstr>Deuda y ke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fernando malagon saenz</dc:creator>
  <cp:lastModifiedBy>Catalina Criollo</cp:lastModifiedBy>
  <dcterms:created xsi:type="dcterms:W3CDTF">2025-11-30T20:56:43Z</dcterms:created>
  <dcterms:modified xsi:type="dcterms:W3CDTF">2025-12-02T04:14:52Z</dcterms:modified>
</cp:coreProperties>
</file>